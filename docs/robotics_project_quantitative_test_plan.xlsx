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758e7c4b8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3bea9c1da84065"/>
    <x:sheet xmlns:r="http://schemas.openxmlformats.org/officeDocument/2006/relationships" name="Test Matrix" sheetId="2" r:id="R3a9451347bf048e3"/>
    <x:sheet xmlns:r="http://schemas.openxmlformats.org/officeDocument/2006/relationships" name="Case Details" sheetId="3" r:id="Rfaf652c009294a36"/>
    <x:sheet xmlns:r="http://schemas.openxmlformats.org/officeDocument/2006/relationships" name="Screenshot Checklist" sheetId="4" r:id="R747d2abd39c040ef"/>
    <x:sheet xmlns:r="http://schemas.openxmlformats.org/officeDocument/2006/relationships" name="Results Entry" sheetId="5" r:id="R0b53dba98a524f9c"/>
    <x:sheet xmlns:r="http://schemas.openxmlformats.org/officeDocument/2006/relationships" name="Results Builder" sheetId="6" r:id="Re12d549f4e2546cb"/>
    <x:sheet xmlns:r="http://schemas.openxmlformats.org/officeDocument/2006/relationships" name="Final File Checklist" sheetId="7" r:id="R1a6c4d3fea8b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"/>
    <x:numFmt numFmtId="203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left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left" wrapText="1"/>
    </x:xf>
    <x:xf numFmtId="0" fontId="0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horizontal="left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200" fontId="0" fillId="6" borderId="0" xfId="0" applyNumberFormat="1" applyFont="1" applyFill="1" applyBorder="1" applyAlignment="1">
      <x:alignment horizontal="left" vertical="center" wrapText="1"/>
    </x:xf>
    <x:xf numFmtId="200" fontId="0" fillId="6" borderId="1" xfId="0" applyNumberFormat="1" applyFont="1" applyFill="1" applyBorder="1" applyAlignment="1">
      <x:alignment horizontal="left" vertical="center" wrapText="1"/>
    </x:xf>
    <x:xf numFmtId="201" fontId="0" fillId="6" borderId="0" xfId="0" applyNumberFormat="1" applyFont="1" applyFill="1" applyBorder="1" applyAlignment="1">
      <x:alignment horizontal="left" vertical="center" wrapText="1"/>
    </x:xf>
    <x:xf numFmtId="201" fontId="0" fillId="6" borderId="1" xfId="0" applyNumberFormat="1" applyFont="1" applyFill="1" applyBorder="1" applyAlignment="1">
      <x:alignment horizontal="left" vertical="center" wrapText="1"/>
    </x:xf>
    <x:xf numFmtId="202" fontId="0" fillId="6" borderId="0" xfId="0" applyNumberFormat="1" applyFont="1" applyFill="1" applyBorder="1" applyAlignment="1">
      <x:alignment horizontal="left" vertical="center" wrapText="1"/>
    </x:xf>
    <x:xf numFmtId="202" fontId="0" fillId="6" borderId="1" xfId="0" applyNumberFormat="1" applyFont="1" applyFill="1" applyBorder="1" applyAlignment="1">
      <x:alignment horizontal="left" vertical="center" wrapText="1"/>
    </x:xf>
    <x:xf numFmtId="203" fontId="0" fillId="6" borderId="0" xfId="0" applyNumberFormat="1" applyFont="1" applyFill="1" applyBorder="1" applyAlignment="1">
      <x:alignment horizontal="left" vertical="center" wrapText="1"/>
    </x:xf>
    <x:xf numFmtId="203" fontId="0" fillId="6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horizontal="left" vertical="top" wrapText="1"/>
    </x:xf>
    <x:xf numFmtId="201" fontId="0" fillId="6" borderId="0" xfId="0" applyNumberFormat="1" applyFont="1" applyFill="1" applyBorder="1" applyAlignment="1">
      <x:alignment horizontal="left" vertical="top" wrapText="1"/>
    </x:xf>
    <x:xf numFmtId="203" fontId="0" fillId="6" borderId="0" xfId="0" applyNumberFormat="1" applyFont="1" applyFill="1" applyBorder="1" applyAlignment="1">
      <x:alignment horizontal="left" vertical="top" wrapText="1"/>
    </x:xf>
    <x:xf numFmtId="202" fontId="0" fillId="6" borderId="0" xfId="0" applyNumberFormat="1" applyFont="1" applyFill="1" applyBorder="1" applyAlignment="1">
      <x:alignment horizontal="left" vertical="top" wrapText="1"/>
    </x:xf>
    <x:xf numFmtId="200" fontId="0" fillId="6" borderId="0" xfId="0" applyNumberFormat="1" applyFont="1" applyFill="1" applyBorder="1" applyAlignment="1">
      <x:alignment horizontal="left" vertical="top" wrapText="1"/>
    </x:xf>
    <x:xf numFmtId="201" fontId="0" fillId="6" borderId="1" xfId="0" applyNumberFormat="1" applyFont="1" applyFill="1" applyBorder="1" applyAlignment="1">
      <x:alignment horizontal="left" vertical="top" wrapText="1"/>
    </x:xf>
    <x:xf numFmtId="203" fontId="0" fillId="6" borderId="1" xfId="0" applyNumberFormat="1" applyFont="1" applyFill="1" applyBorder="1" applyAlignment="1">
      <x:alignment horizontal="left" vertical="top" wrapText="1"/>
    </x:xf>
    <x:xf numFmtId="202" fontId="0" fillId="6" borderId="1" xfId="0" applyNumberFormat="1" applyFont="1" applyFill="1" applyBorder="1" applyAlignment="1">
      <x:alignment horizontal="left" vertical="top" wrapText="1"/>
    </x:xf>
    <x:xf numFmtId="200" fontId="0" fillId="6" borderId="1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dd6bb8a434b3a" /><Relationship Type="http://schemas.openxmlformats.org/officeDocument/2006/relationships/theme" Target="/xl/theme/theme1.xml" Id="R07aa737f64554ef8" /><Relationship Type="http://schemas.openxmlformats.org/officeDocument/2006/relationships/sharedStrings" Target="/xl/sharedStrings.xml" Id="R64d4e505782e46ce" /><Relationship Type="http://schemas.openxmlformats.org/officeDocument/2006/relationships/worksheet" Target="/xl/worksheets/sheet1.xml" Id="R723bea9c1da84065" /><Relationship Type="http://schemas.openxmlformats.org/officeDocument/2006/relationships/worksheet" Target="/xl/worksheets/sheet2.xml" Id="R3a9451347bf048e3" /><Relationship Type="http://schemas.openxmlformats.org/officeDocument/2006/relationships/worksheet" Target="/xl/worksheets/sheet3.xml" Id="Rfaf652c009294a36" /><Relationship Type="http://schemas.openxmlformats.org/officeDocument/2006/relationships/worksheet" Target="/xl/worksheets/sheet4.xml" Id="R747d2abd39c040ef" /><Relationship Type="http://schemas.openxmlformats.org/officeDocument/2006/relationships/worksheet" Target="/xl/worksheets/sheet5.xml" Id="R0b53dba98a524f9c" /><Relationship Type="http://schemas.openxmlformats.org/officeDocument/2006/relationships/worksheet" Target="/xl/worksheets/sheet6.xml" Id="Re12d549f4e2546cb" /><Relationship Type="http://schemas.openxmlformats.org/officeDocument/2006/relationships/worksheet" Target="/xl/worksheets/sheet7.xml" Id="R1a6c4d3fea8b4298" /></Relationships>
</file>

<file path=xl/tables/table1.xml><?xml version="1.0" encoding="utf-8"?>
<x:table xmlns:x="http://schemas.openxmlformats.org/spreadsheetml/2006/main" id="1" name="TestMatrixTable" displayName="TestMatrixTable" ref="A1:W11" headerRowCount="1" totalsRowCount="0" totalsRowShown="0">
  <x:tableColumns count="23">
    <x:tableColumn id="1" name="Case ID"/>
    <x:tableColumn id="2" name="Trial name"/>
    <x:tableColumn id="3" name="Priority"/>
    <x:tableColumn id="4" name="Target Source"/>
    <x:tableColumn id="5" name="Estimator"/>
    <x:tableColumn id="6" name="Robot X"/>
    <x:tableColumn id="7" name="Robot Y"/>
    <x:tableColumn id="8" name="Target X"/>
    <x:tableColumn id="9" name="Target Y"/>
    <x:tableColumn id="10" name="Camera Range"/>
    <x:tableColumn id="11" name="Sensor Noise"/>
    <x:tableColumn id="12" name="Obstacle Density"/>
    <x:tableColumn id="13" name="Dynamic Obstacles"/>
    <x:tableColumn id="14" name="Dynamic Speed"/>
    <x:tableColumn id="15" name="Robot Max Velocity"/>
    <x:tableColumn id="16" name="Failure Scenario"/>
    <x:tableColumn id="17" name="Duration (sec)"/>
    <x:tableColumn id="18" name="Screenshot file"/>
    <x:tableColumn id="19" name="Chart/Table to capture"/>
    <x:tableColumn id="20" name="CSV/UI values to extract"/>
    <x:tableColumn id="21" name="Reason for test"/>
    <x:tableColumn id="22" name="Expected output"/>
    <x:tableColumn id="23" name="What it identif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EntryTable" displayName="ResultsEntryTable" ref="A1:X11" headerRowCount="1" totalsRowCount="0" totalsRowShown="0">
  <x:tableColumns count="24">
    <x:tableColumn id="1" name="Trial name"/>
    <x:tableColumn id="2" name="Status"/>
    <x:tableColumn id="3" name="Duration sec"/>
    <x:tableColumn id="4" name="Tracking RMSE (px)"/>
    <x:tableColumn id="5" name="Mean error (px)"/>
    <x:tableColumn id="6" name="Detection rate (%)"/>
    <x:tableColumn id="7" name="LOS blocked rate (%)"/>
    <x:tableColumn id="8" name="Occlusion rate (%)"/>
    <x:tableColumn id="9" name="A* planning time (ms)"/>
    <x:tableColumn id="10" name="Dijkstra planning time (ms)"/>
    <x:tableColumn id="11" name="A* explored nodes"/>
    <x:tableColumn id="12" name="Dijkstra explored nodes"/>
    <x:tableColumn id="13" name="Collision count"/>
    <x:tableColumn id="14" name="Dynamic replans"/>
    <x:tableColumn id="15" name="Raw RMSE (px)"/>
    <x:tableColumn id="16" name="Moving Avg RMSE (px)"/>
    <x:tableColumn id="17" name="Kalman RMSE (px)"/>
    <x:tableColumn id="18" name="RMSE vs baseline (px)"/>
    <x:tableColumn id="19" name="RMSE % vs baseline"/>
    <x:tableColumn id="20" name="A* node saving vs Dijkstra"/>
    <x:tableColumn id="21" name="Kalman improvement vs raw"/>
    <x:tableColumn id="22" name="Interpretation / note"/>
    <x:tableColumn id="23" name="Screenshot file"/>
    <x:tableColumn id="24" name="CSV/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4294933174f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e5a7d79f98c480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16" hidden="0" customWidth="1"/>
    <x:col min="6" max="6" width="24" hidden="0" customWidth="1"/>
    <x:col min="7" max="7" width="30" hidden="0" customWidth="1"/>
    <x:col min="8" max="8" width="40" hidden="0" customWidth="1"/>
  </x:cols>
  <x:sheetData>
    <x:row r="1">
      <x:c r="A1" s="84" t="str">
        <x:v>Quantitative Testing Workbook — Uncertainty-Aware Target-Following Robot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>
      <x:c r="A2" s="86" t="str">
        <x:v>Use this workbook to run fixed test cases, collect screenshots, export CSV results, and write evidence-backed README/professor statements.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7" t="str">
        <x:v>What to do</x:v>
      </x:c>
      <x:c r="B4" s="87" t="str">
        <x:v>Exact output to produce</x:v>
      </x:c>
      <x:c r="C4" s="87" t="str">
        <x:v>Where to save it</x:v>
      </x:c>
      <x:c r="D4" s="87" t="str">
        <x:v>Done?</x:v>
      </x:c>
      <x:c r="E4" s="85"/>
      <x:c r="F4" s="87" t="str">
        <x:v>Key proof</x:v>
      </x:c>
      <x:c r="G4" s="87" t="str">
        <x:v>Metric to compare</x:v>
      </x:c>
      <x:c r="H4" s="87" t="str">
        <x:v>Good evidence pattern</x:v>
      </x:c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v>Run core test cases</x:v>
      </x:c>
      <x:c r="B5" s="88" t="str">
        <x:v>TC01 to TC06</x:v>
      </x:c>
      <x:c r="C5" s="88" t="str">
        <x:v>App Controlled Experiments panel</x:v>
      </x:c>
      <x:c r="D5" s="88" t="str"/>
      <x:c r="E5" s="85"/>
      <x:c r="F5" s="88" t="str">
        <x:v>Noise robustness</x:v>
      </x:c>
      <x:c r="G5" s="88" t="str">
        <x:v>Kalman RMSE vs Raw RMSE</x:v>
      </x:c>
      <x:c r="H5" s="88" t="str">
        <x:v>Kalman lower than Raw in high_noise</x:v>
      </x:c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v>Export summary CSV</x:v>
      </x:c>
      <x:c r="B6" s="88" t="str">
        <x:v>experiment-summary.csv</x:v>
      </x:c>
      <x:c r="C6" s="88" t="str">
        <x:v>results/experiment-summary.csv</x:v>
      </x:c>
      <x:c r="D6" s="88" t="str"/>
      <x:c r="E6" s="85"/>
      <x:c r="F6" s="88" t="str">
        <x:v>Planning efficiency</x:v>
      </x:c>
      <x:c r="G6" s="88" t="str">
        <x:v>A* explored nodes vs Dijkstra</x:v>
      </x:c>
      <x:c r="H6" s="88" t="str">
        <x:v>A* explores fewer cells</x:v>
      </x:c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v>Export frame CSV</x:v>
      </x:c>
      <x:c r="B7" s="88" t="str">
        <x:v>frame-log.csv</x:v>
      </x:c>
      <x:c r="C7" s="88" t="str">
        <x:v>results/frame-log.csv</x:v>
      </x:c>
      <x:c r="D7" s="88" t="str"/>
      <x:c r="E7" s="85"/>
      <x:c r="F7" s="88" t="str">
        <x:v>Visibility realism</x:v>
      </x:c>
      <x:c r="G7" s="88" t="str">
        <x:v>LOS blocked rate</x:v>
      </x:c>
      <x:c r="H7" s="88" t="str">
        <x:v>High in LOS blocked case</x:v>
      </x:c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 t="str">
        <x:v>Take core screenshots</x:v>
      </x:c>
      <x:c r="B8" s="88" t="str">
        <x:v>8 PNG images</x:v>
      </x:c>
      <x:c r="C8" s="88" t="str">
        <x:v>assets/screenshots/</x:v>
      </x:c>
      <x:c r="D8" s="88" t="str"/>
      <x:c r="E8" s="85"/>
      <x:c r="F8" s="88" t="str">
        <x:v>Reactive replanning</x:v>
      </x:c>
      <x:c r="G8" s="88" t="str">
        <x:v>Dynamic replans</x:v>
      </x:c>
      <x:c r="H8" s="88" t="str">
        <x:v>&gt; 0 in dynamic cases</x:v>
      </x:c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8" t="str">
        <x:v>Fill Results Entry sheet</x:v>
      </x:c>
      <x:c r="B9" s="88" t="str">
        <x:v>Measured values copied from CSV/UI</x:v>
      </x:c>
      <x:c r="C9" s="88" t="str">
        <x:v>Results Entry</x:v>
      </x:c>
      <x:c r="D9" s="88" t="str"/>
      <x:c r="E9" s="85"/>
      <x:c r="F9" s="88" t="str">
        <x:v>Control limitation</x:v>
      </x:c>
      <x:c r="G9" s="88" t="str">
        <x:v>Slow robot RMSE</x:v>
      </x:c>
      <x:c r="H9" s="88" t="str">
        <x:v>Higher than baseline</x:v>
      </x:c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8" t="str">
        <x:v>Update README</x:v>
      </x:c>
      <x:c r="B10" s="88" t="str">
        <x:v>Add real numbers and image links</x:v>
      </x:c>
      <x:c r="C10" s="88" t="str">
        <x:v>README.md</x:v>
      </x:c>
      <x:c r="D10" s="88" t="str"/>
      <x:c r="E10" s="85"/>
      <x:c r="F10" s="88" t="str">
        <x:v>Safety</x:v>
      </x:c>
      <x:c r="G10" s="88" t="str">
        <x:v>Collision count</x:v>
      </x:c>
      <x:c r="H10" s="88" t="str">
        <x:v>Low across cases</x:v>
      </x:c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8" t="str">
        <x:v>Commit to GitHub</x:v>
      </x:c>
      <x:c r="B11" s="88" t="str">
        <x:v>Screenshots + CSV + README</x:v>
      </x:c>
      <x:c r="C11" s="88" t="str">
        <x:v>Private repo for now</x:v>
      </x:c>
      <x:c r="D11" s="88" t="str"/>
      <x:c r="E11" s="85"/>
      <x:c r="F11" s="88" t="str">
        <x:v>Research maturity</x:v>
      </x:c>
      <x:c r="G11" s="88" t="str">
        <x:v>Failure log</x:v>
      </x:c>
      <x:c r="H11" s="88" t="str">
        <x:v>Explains why system fails</x:v>
      </x:c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8" t="str">
        <x:v>Optional webcam</x:v>
      </x:c>
      <x:c r="B12" s="88" t="str">
        <x:v>TC10 only if kept</x:v>
      </x:c>
      <x:c r="C12" s="88" t="str">
        <x:v>assets/screenshots/webcam-validation.png</x:v>
      </x:c>
      <x:c r="D12" s="88" t="str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mergeCells>
    <x:mergeCell ref="A1:H1"/>
    <x:mergeCell ref="A2:H2"/>
  </x:mergeCells>
  <x:dataValidations count="1">
    <x:dataValidation type="list" sqref="D5:D12">
      <x:formula1>"Not Started,In Progress,Done,Skipped"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3" hidden="0" customWidth="1"/>
    <x:col min="12" max="12" width="16" hidden="0" customWidth="1"/>
    <x:col min="13" max="13" width="18" hidden="0" customWidth="1"/>
    <x:col min="14" max="14" width="14" hidden="0" customWidth="1"/>
    <x:col min="15" max="15" width="16" hidden="0" customWidth="1"/>
    <x:col min="16" max="16" width="26" hidden="0" customWidth="1"/>
    <x:col min="17" max="17" width="12" hidden="0" customWidth="1"/>
    <x:col min="18" max="18" width="28" hidden="0" customWidth="1"/>
    <x:col min="19" max="19" width="35" hidden="0" customWidth="1"/>
    <x:col min="20" max="20" width="48" hidden="0" customWidth="1"/>
    <x:col min="21" max="21" width="44" hidden="0" customWidth="1"/>
    <x:col min="22" max="22" width="48" hidden="0" customWidth="1"/>
    <x:col min="23" max="23" width="42" hidden="0" customWidth="1"/>
  </x:cols>
  <x:sheetData>
    <x:row r="1">
      <x:c r="A1" s="94" t="str">
        <x:v>Case ID</x:v>
      </x:c>
      <x:c r="B1" s="94" t="str">
        <x:v>Trial name</x:v>
      </x:c>
      <x:c r="C1" s="94" t="str">
        <x:v>Priority</x:v>
      </x:c>
      <x:c r="D1" s="94" t="str">
        <x:v>Target Source</x:v>
      </x:c>
      <x:c r="E1" s="94" t="str">
        <x:v>Estimator</x:v>
      </x:c>
      <x:c r="F1" s="94" t="str">
        <x:v>Robot X</x:v>
      </x:c>
      <x:c r="G1" s="94" t="str">
        <x:v>Robot Y</x:v>
      </x:c>
      <x:c r="H1" s="94" t="str">
        <x:v>Target X</x:v>
      </x:c>
      <x:c r="I1" s="94" t="str">
        <x:v>Target Y</x:v>
      </x:c>
      <x:c r="J1" s="94" t="str">
        <x:v>Camera Range</x:v>
      </x:c>
      <x:c r="K1" s="94" t="str">
        <x:v>Sensor Noise</x:v>
      </x:c>
      <x:c r="L1" s="94" t="str">
        <x:v>Obstacle Density</x:v>
      </x:c>
      <x:c r="M1" s="94" t="str">
        <x:v>Dynamic Obstacles</x:v>
      </x:c>
      <x:c r="N1" s="94" t="str">
        <x:v>Dynamic Speed</x:v>
      </x:c>
      <x:c r="O1" s="94" t="str">
        <x:v>Robot Max Velocity</x:v>
      </x:c>
      <x:c r="P1" s="94" t="str">
        <x:v>Failure Scenario</x:v>
      </x:c>
      <x:c r="Q1" s="94" t="str">
        <x:v>Duration (sec)</x:v>
      </x:c>
      <x:c r="R1" s="94" t="str">
        <x:v>Screenshot file</x:v>
      </x:c>
      <x:c r="S1" s="94" t="str">
        <x:v>Chart/Table to capture</x:v>
      </x:c>
      <x:c r="T1" s="94" t="str">
        <x:v>CSV/UI values to extract</x:v>
      </x:c>
      <x:c r="U1" s="94" t="str">
        <x:v>Reason for test</x:v>
      </x:c>
      <x:c r="V1" s="94" t="str">
        <x:v>Expected output</x:v>
      </x:c>
      <x:c r="W1" s="94" t="str">
        <x:v>What it identifies</x:v>
      </x:c>
      <x:c r="X1" s="85"/>
      <x:c r="Y1" s="85"/>
      <x:c r="Z1" s="85"/>
    </x:row>
    <x:row r="2">
      <x:c r="A2" s="95" t="str">
        <x:v>TC01</x:v>
      </x:c>
      <x:c r="B2" s="95" t="str">
        <x:v>baseline</x:v>
      </x:c>
      <x:c r="C2" s="95" t="str">
        <x:v>Core</x:v>
      </x:c>
      <x:c r="D2" s="95" t="str">
        <x:v>Simulated target motion</x:v>
      </x:c>
      <x:c r="E2" s="95" t="str">
        <x:v>Kalman</x:v>
      </x:c>
      <x:c r="F2" s="95" t="n">
        <x:v>120</x:v>
      </x:c>
      <x:c r="G2" s="95" t="n">
        <x:v>430</x:v>
      </x:c>
      <x:c r="H2" s="95" t="n">
        <x:v>820</x:v>
      </x:c>
      <x:c r="I2" s="95" t="n">
        <x:v>430</x:v>
      </x:c>
      <x:c r="J2" s="95" t="n">
        <x:v>700</x:v>
      </x:c>
      <x:c r="K2" s="95" t="n">
        <x:v>25</x:v>
      </x:c>
      <x:c r="L2" s="95" t="str">
        <x:v>Medium</x:v>
      </x:c>
      <x:c r="M2" s="95" t="str">
        <x:v>Disabled</x:v>
      </x:c>
      <x:c r="N2" s="95" t="str">
        <x:v>N/A</x:v>
      </x:c>
      <x:c r="O2" s="95" t="n">
        <x:v>2.8</x:v>
      </x:c>
      <x:c r="P2" s="95" t="str">
        <x:v>Normal baseline</x:v>
      </x:c>
      <x:c r="Q2" s="95" t="n">
        <x:v>30</x:v>
      </x:c>
      <x:c r="R2" s="95" t="str">
        <x:v>main-simulation.png</x:v>
      </x:c>
      <x:c r="S2" s="95" t="str">
        <x:v>Controlled Experiment Summary after saving trial.</x:v>
      </x:c>
      <x:c r="T2" s="95" t="str">
        <x:v>From experiment-summary.csv: Tracking RMSE, Mean tracking error, Detection rate, A* planning time, Collision count.</x:v>
      </x:c>
      <x:c r="U2" s="95" t="str">
        <x:v>Creates the normal reference run for comparing every other scenario.</x:v>
      </x:c>
      <x:c r="V2" s="95" t="str">
        <x:v>Target should acquire quickly, robot follows smoothly, A* path is visible, collision count should remain low.</x:v>
      </x:c>
      <x:c r="W2" s="95" t="str">
        <x:v>Baseline tracking ability under normal uncertainty and medium obstacles.</x:v>
      </x:c>
      <x:c r="X2" s="85"/>
      <x:c r="Y2" s="85"/>
      <x:c r="Z2" s="85"/>
    </x:row>
    <x:row r="3">
      <x:c r="A3" s="95" t="str">
        <x:v>TC02</x:v>
      </x:c>
      <x:c r="B3" s="95" t="str">
        <x:v>high_noise</x:v>
      </x:c>
      <x:c r="C3" s="95" t="str">
        <x:v>Core</x:v>
      </x:c>
      <x:c r="D3" s="95" t="str">
        <x:v>Simulated target motion</x:v>
      </x:c>
      <x:c r="E3" s="95" t="str">
        <x:v>Kalman</x:v>
      </x:c>
      <x:c r="F3" s="95" t="n">
        <x:v>120</x:v>
      </x:c>
      <x:c r="G3" s="95" t="n">
        <x:v>430</x:v>
      </x:c>
      <x:c r="H3" s="95" t="n">
        <x:v>820</x:v>
      </x:c>
      <x:c r="I3" s="95" t="n">
        <x:v>430</x:v>
      </x:c>
      <x:c r="J3" s="95" t="n">
        <x:v>700</x:v>
      </x:c>
      <x:c r="K3" s="95" t="n">
        <x:v>70</x:v>
      </x:c>
      <x:c r="L3" s="95" t="str">
        <x:v>Medium</x:v>
      </x:c>
      <x:c r="M3" s="95" t="str">
        <x:v>Disabled</x:v>
      </x:c>
      <x:c r="N3" s="95" t="str">
        <x:v>N/A</x:v>
      </x:c>
      <x:c r="O3" s="95" t="n">
        <x:v>2.8</x:v>
      </x:c>
      <x:c r="P3" s="95" t="str">
        <x:v>Normal baseline</x:v>
      </x:c>
      <x:c r="Q3" s="95" t="n">
        <x:v>30</x:v>
      </x:c>
      <x:c r="R3" s="95" t="str">
        <x:v>kalman-high-noise.png</x:v>
      </x:c>
      <x:c r="S3" s="95" t="str">
        <x:v>Estimator Comparison table and Controlled Experiment Summary.</x:v>
      </x:c>
      <x:c r="T3" s="95" t="str">
        <x:v>From estimator comparison UI: Raw RMSE, Moving Average RMSE, Kalman RMSE. From CSV: Tracking RMSE, Mean tracking error, Detection rate.</x:v>
      </x:c>
      <x:c r="U3" s="95" t="str">
        <x:v>Proves why Kalman filtering is needed when camera measurements are noisy.</x:v>
      </x:c>
      <x:c r="V3" s="95" t="str">
        <x:v>Orange measurement should be unstable; green estimate should remain smoother. Kalman RMSE should ideally be below raw RMSE.</x:v>
      </x:c>
      <x:c r="W3" s="95" t="str">
        <x:v>Noise robustness and estimation improvement.</x:v>
      </x:c>
      <x:c r="X3" s="85"/>
      <x:c r="Y3" s="85"/>
      <x:c r="Z3" s="85"/>
    </x:row>
    <x:row r="4">
      <x:c r="A4" s="95" t="str">
        <x:v>TC03</x:v>
      </x:c>
      <x:c r="B4" s="95" t="str">
        <x:v>line_of_sight_blocked</x:v>
      </x:c>
      <x:c r="C4" s="95" t="str">
        <x:v>Core</x:v>
      </x:c>
      <x:c r="D4" s="95" t="str">
        <x:v>Simulated target motion</x:v>
      </x:c>
      <x:c r="E4" s="95" t="str">
        <x:v>Kalman</x:v>
      </x:c>
      <x:c r="F4" s="95" t="n">
        <x:v>220</x:v>
      </x:c>
      <x:c r="G4" s="95" t="n">
        <x:v>250</x:v>
      </x:c>
      <x:c r="H4" s="95" t="n">
        <x:v>600</x:v>
      </x:c>
      <x:c r="I4" s="95" t="n">
        <x:v>250</x:v>
      </x:c>
      <x:c r="J4" s="95" t="n">
        <x:v>700</x:v>
      </x:c>
      <x:c r="K4" s="95" t="n">
        <x:v>25</x:v>
      </x:c>
      <x:c r="L4" s="95" t="str">
        <x:v>Medium</x:v>
      </x:c>
      <x:c r="M4" s="95" t="str">
        <x:v>Disabled</x:v>
      </x:c>
      <x:c r="N4" s="95" t="str">
        <x:v>N/A</x:v>
      </x:c>
      <x:c r="O4" s="95" t="n">
        <x:v>2.8</x:v>
      </x:c>
      <x:c r="P4" s="95" t="str">
        <x:v>Normal baseline</x:v>
      </x:c>
      <x:c r="Q4" s="95" t="n">
        <x:v>30</x:v>
      </x:c>
      <x:c r="R4" s="95" t="str">
        <x:v>line-of-sight-blocked.png</x:v>
      </x:c>
      <x:c r="S4" s="95" t="str">
        <x:v>Failure timeline/status plus live status cards.</x:v>
      </x:c>
      <x:c r="T4" s="95" t="str">
        <x:v>From CSV: Detection rate, Line-of-sight blocked rate, Frames since detection if visible, Tracking RMSE if available.</x:v>
      </x:c>
      <x:c r="U4" s="95" t="str">
        <x:v>Tests realistic camera behavior: camera should not see through walls even when range is high.</x:v>
      </x:c>
      <x:c r="V4" s="95" t="str">
        <x:v>Detection rate should drop and LOS blocked rate should rise. If target starts hidden, target acquisition may remain Searching until visible.</x:v>
      </x:c>
      <x:c r="W4" s="95" t="str">
        <x:v>Line-of-sight sensing constraint and prediction-only behavior during blocked view.</x:v>
      </x:c>
      <x:c r="X4" s="85"/>
      <x:c r="Y4" s="85"/>
      <x:c r="Z4" s="85"/>
    </x:row>
    <x:row r="5">
      <x:c r="A5" s="95" t="str">
        <x:v>TC04</x:v>
      </x:c>
      <x:c r="B5" s="95" t="str">
        <x:v>dense_obstacles</x:v>
      </x:c>
      <x:c r="C5" s="95" t="str">
        <x:v>Core</x:v>
      </x:c>
      <x:c r="D5" s="95" t="str">
        <x:v>Simulated target motion</x:v>
      </x:c>
      <x:c r="E5" s="95" t="str">
        <x:v>Kalman</x:v>
      </x:c>
      <x:c r="F5" s="95" t="n">
        <x:v>120</x:v>
      </x:c>
      <x:c r="G5" s="95" t="n">
        <x:v>430</x:v>
      </x:c>
      <x:c r="H5" s="95" t="n">
        <x:v>820</x:v>
      </x:c>
      <x:c r="I5" s="95" t="n">
        <x:v>430</x:v>
      </x:c>
      <x:c r="J5" s="95" t="n">
        <x:v>700</x:v>
      </x:c>
      <x:c r="K5" s="95" t="n">
        <x:v>25</x:v>
      </x:c>
      <x:c r="L5" s="95" t="str">
        <x:v>High</x:v>
      </x:c>
      <x:c r="M5" s="95" t="str">
        <x:v>Disabled</x:v>
      </x:c>
      <x:c r="N5" s="95" t="str">
        <x:v>N/A</x:v>
      </x:c>
      <x:c r="O5" s="95" t="n">
        <x:v>2.8</x:v>
      </x:c>
      <x:c r="P5" s="95" t="str">
        <x:v>Normal baseline</x:v>
      </x:c>
      <x:c r="Q5" s="95" t="n">
        <x:v>30</x:v>
      </x:c>
      <x:c r="R5" s="95" t="str">
        <x:v>astar-path-planning.png and astar-vs-dijkstra.png</x:v>
      </x:c>
      <x:c r="S5" s="95" t="str">
        <x:v>A* vs Dijkstra planner table.</x:v>
      </x:c>
      <x:c r="T5" s="95" t="str">
        <x:v>From planner table/CSV: A* path length, Dijkstra path length, A* planning time, Dijkstra planning time, A* explored nodes, Dijkstra explored nodes, Collision count.</x:v>
      </x:c>
      <x:c r="U5" s="95" t="str">
        <x:v>Tests whether the robot can plan through a cluttered environment.</x:v>
      </x:c>
      <x:c r="V5" s="95" t="str">
        <x:v>A* and Dijkstra should produce similar path lengths; A* should usually explore fewer cells than Dijkstra; collisions should stay low.</x:v>
      </x:c>
      <x:c r="W5" s="95" t="str">
        <x:v>Planner efficiency and obstacle-aware navigation.</x:v>
      </x:c>
      <x:c r="X5" s="85"/>
      <x:c r="Y5" s="85"/>
      <x:c r="Z5" s="85"/>
    </x:row>
    <x:row r="6">
      <x:c r="A6" s="95" t="str">
        <x:v>TC05</x:v>
      </x:c>
      <x:c r="B6" s="95" t="str">
        <x:v>dynamic_obstacles</x:v>
      </x:c>
      <x:c r="C6" s="95" t="str">
        <x:v>Core</x:v>
      </x:c>
      <x:c r="D6" s="95" t="str">
        <x:v>Simulated target motion</x:v>
      </x:c>
      <x:c r="E6" s="95" t="str">
        <x:v>Kalman</x:v>
      </x:c>
      <x:c r="F6" s="95" t="n">
        <x:v>120</x:v>
      </x:c>
      <x:c r="G6" s="95" t="n">
        <x:v>430</x:v>
      </x:c>
      <x:c r="H6" s="95" t="n">
        <x:v>820</x:v>
      </x:c>
      <x:c r="I6" s="95" t="n">
        <x:v>430</x:v>
      </x:c>
      <x:c r="J6" s="95" t="n">
        <x:v>700</x:v>
      </x:c>
      <x:c r="K6" s="95" t="n">
        <x:v>25</x:v>
      </x:c>
      <x:c r="L6" s="95" t="str">
        <x:v>Medium</x:v>
      </x:c>
      <x:c r="M6" s="95" t="str">
        <x:v>Enabled</x:v>
      </x:c>
      <x:c r="N6" s="95" t="str">
        <x:v>1.5x</x:v>
      </x:c>
      <x:c r="O6" s="95" t="n">
        <x:v>2.8</x:v>
      </x:c>
      <x:c r="P6" s="95" t="str">
        <x:v>Normal baseline</x:v>
      </x:c>
      <x:c r="Q6" s="95" t="n">
        <x:v>30</x:v>
      </x:c>
      <x:c r="R6" s="95" t="str">
        <x:v>dynamic-obstacles.png</x:v>
      </x:c>
      <x:c r="S6" s="95" t="str">
        <x:v>Dynamic obstacle metrics + Controlled Experiment Summary.</x:v>
      </x:c>
      <x:c r="T6" s="95" t="str">
        <x:v>From CSV: Dynamic replans, Tracking RMSE, Mean tracking error, Collision count, A* planning time.</x:v>
      </x:c>
      <x:c r="U6" s="95" t="str">
        <x:v>Tests whether the robot replans when the environment changes.</x:v>
      </x:c>
      <x:c r="V6" s="95" t="str">
        <x:v>Dynamic replans should be greater than 0. Tracking error may increase compared with baseline, but collision count should remain low.</x:v>
      </x:c>
      <x:c r="W6" s="95" t="str">
        <x:v>Reactive replanning under moving obstacles.</x:v>
      </x:c>
      <x:c r="X6" s="85"/>
      <x:c r="Y6" s="85"/>
      <x:c r="Z6" s="85"/>
    </x:row>
    <x:row r="7">
      <x:c r="A7" s="95" t="str">
        <x:v>TC06</x:v>
      </x:c>
      <x:c r="B7" s="95" t="str">
        <x:v>slow_robot</x:v>
      </x:c>
      <x:c r="C7" s="95" t="str">
        <x:v>Core</x:v>
      </x:c>
      <x:c r="D7" s="95" t="str">
        <x:v>Simulated target motion</x:v>
      </x:c>
      <x:c r="E7" s="95" t="str">
        <x:v>Kalman</x:v>
      </x:c>
      <x:c r="F7" s="95" t="n">
        <x:v>120</x:v>
      </x:c>
      <x:c r="G7" s="95" t="n">
        <x:v>430</x:v>
      </x:c>
      <x:c r="H7" s="95" t="n">
        <x:v>820</x:v>
      </x:c>
      <x:c r="I7" s="95" t="n">
        <x:v>430</x:v>
      </x:c>
      <x:c r="J7" s="95" t="n">
        <x:v>700</x:v>
      </x:c>
      <x:c r="K7" s="95" t="n">
        <x:v>25</x:v>
      </x:c>
      <x:c r="L7" s="95" t="str">
        <x:v>Medium</x:v>
      </x:c>
      <x:c r="M7" s="95" t="str">
        <x:v>Enabled</x:v>
      </x:c>
      <x:c r="N7" s="95" t="str">
        <x:v>1.5x</x:v>
      </x:c>
      <x:c r="O7" s="95" t="n">
        <x:v>1.2</x:v>
      </x:c>
      <x:c r="P7" s="95" t="str">
        <x:v>Robot too slow for target/dynamic obstacles</x:v>
      </x:c>
      <x:c r="Q7" s="95" t="n">
        <x:v>30</x:v>
      </x:c>
      <x:c r="R7" s="95" t="str">
        <x:v>failure-case-analysis.png</x:v>
      </x:c>
      <x:c r="S7" s="95" t="str">
        <x:v>Failure Case Timeline and Controlled Experiment Summary.</x:v>
      </x:c>
      <x:c r="T7" s="95" t="str">
        <x:v>From CSV: Tracking RMSE, Mean tracking error, Collision count, Dynamic replans, Failure log count / Active failure if displayed.</x:v>
      </x:c>
      <x:c r="U7" s="95" t="str">
        <x:v>Shows the limitation of the robot controller when the robot cannot keep up.</x:v>
      </x:c>
      <x:c r="V7" s="95" t="str">
        <x:v>Tracking RMSE should increase compared with baseline. Failure panel may detect high tracking error or robot-control limitation.</x:v>
      </x:c>
      <x:c r="W7" s="95" t="str">
        <x:v>Control limitation and failure diagnosis.</x:v>
      </x:c>
      <x:c r="X7" s="85"/>
      <x:c r="Y7" s="85"/>
      <x:c r="Z7" s="85"/>
    </x:row>
    <x:row r="8">
      <x:c r="A8" s="95" t="str">
        <x:v>TC07</x:v>
      </x:c>
      <x:c r="B8" s="95" t="str">
        <x:v>low_camera_range</x:v>
      </x:c>
      <x:c r="C8" s="95" t="str">
        <x:v>Recommended</x:v>
      </x:c>
      <x:c r="D8" s="95" t="str">
        <x:v>Simulated target motion</x:v>
      </x:c>
      <x:c r="E8" s="95" t="str">
        <x:v>Kalman</x:v>
      </x:c>
      <x:c r="F8" s="95" t="n">
        <x:v>120</x:v>
      </x:c>
      <x:c r="G8" s="95" t="n">
        <x:v>430</x:v>
      </x:c>
      <x:c r="H8" s="95" t="n">
        <x:v>820</x:v>
      </x:c>
      <x:c r="I8" s="95" t="n">
        <x:v>430</x:v>
      </x:c>
      <x:c r="J8" s="95" t="n">
        <x:v>250</x:v>
      </x:c>
      <x:c r="K8" s="95" t="n">
        <x:v>25</x:v>
      </x:c>
      <x:c r="L8" s="95" t="str">
        <x:v>Medium</x:v>
      </x:c>
      <x:c r="M8" s="95" t="str">
        <x:v>Disabled</x:v>
      </x:c>
      <x:c r="N8" s="95" t="str">
        <x:v>N/A</x:v>
      </x:c>
      <x:c r="O8" s="95" t="n">
        <x:v>2.8</x:v>
      </x:c>
      <x:c r="P8" s="95" t="str">
        <x:v>Normal baseline</x:v>
      </x:c>
      <x:c r="Q8" s="95" t="n">
        <x:v>30</x:v>
      </x:c>
      <x:c r="R8" s="95" t="str">
        <x:v>camera-range-loss.png</x:v>
      </x:c>
      <x:c r="S8" s="95" t="str">
        <x:v>Detection metrics and Controlled Experiment Summary.</x:v>
      </x:c>
      <x:c r="T8" s="95" t="str">
        <x:v>From CSV: Detection rate, Frames since detection if visible, Tracking RMSE, Mean tracking error.</x:v>
      </x:c>
      <x:c r="U8" s="95" t="str">
        <x:v>Tests camera range limitation separately from obstacle blocking.</x:v>
      </x:c>
      <x:c r="V8" s="95" t="str">
        <x:v>Detection rate should drop compared with baseline. Robot should only track after target is acquired or visible.</x:v>
      </x:c>
      <x:c r="W8" s="95" t="str">
        <x:v>Limited sensor range behavior.</x:v>
      </x:c>
      <x:c r="X8" s="85"/>
      <x:c r="Y8" s="85"/>
      <x:c r="Z8" s="85"/>
    </x:row>
    <x:row r="9">
      <x:c r="A9" s="95" t="str">
        <x:v>TC08</x:v>
      </x:c>
      <x:c r="B9" s="95" t="str">
        <x:v>target_hidden_start</x:v>
      </x:c>
      <x:c r="C9" s="95" t="str">
        <x:v>Recommended</x:v>
      </x:c>
      <x:c r="D9" s="95" t="str">
        <x:v>Simulated target motion</x:v>
      </x:c>
      <x:c r="E9" s="95" t="str">
        <x:v>Kalman</x:v>
      </x:c>
      <x:c r="F9" s="95" t="n">
        <x:v>220</x:v>
      </x:c>
      <x:c r="G9" s="95" t="n">
        <x:v>250</x:v>
      </x:c>
      <x:c r="H9" s="95" t="n">
        <x:v>600</x:v>
      </x:c>
      <x:c r="I9" s="95" t="n">
        <x:v>250</x:v>
      </x:c>
      <x:c r="J9" s="95" t="n">
        <x:v>700</x:v>
      </x:c>
      <x:c r="K9" s="95" t="n">
        <x:v>25</x:v>
      </x:c>
      <x:c r="L9" s="95" t="str">
        <x:v>Medium</x:v>
      </x:c>
      <x:c r="M9" s="95" t="str">
        <x:v>Disabled</x:v>
      </x:c>
      <x:c r="N9" s="95" t="str">
        <x:v>N/A</x:v>
      </x:c>
      <x:c r="O9" s="95" t="n">
        <x:v>2.8</x:v>
      </x:c>
      <x:c r="P9" s="95" t="str">
        <x:v>Target initially hidden behind obstacle</x:v>
      </x:c>
      <x:c r="Q9" s="95" t="n">
        <x:v>30</x:v>
      </x:c>
      <x:c r="R9" s="95" t="str">
        <x:v>target-acquisition-searching.png</x:v>
      </x:c>
      <x:c r="S9" s="95" t="str">
        <x:v>Failure status/timeline.</x:v>
      </x:c>
      <x:c r="T9" s="95" t="str">
        <x:v>From CSV: Detection rate, LOS blocked rate, Frames since detection, Target acquired status if included.</x:v>
      </x:c>
      <x:c r="U9" s="95" t="str">
        <x:v>Proves the robot does not magically know the target initial position.</x:v>
      </x:c>
      <x:c r="V9" s="95" t="str">
        <x:v>Robot waits/searches until a valid camera detection occurs. A* should not plan to true target before acquisition.</x:v>
      </x:c>
      <x:c r="W9" s="95" t="str">
        <x:v>Target acquisition realism.</x:v>
      </x:c>
      <x:c r="X9" s="85"/>
      <x:c r="Y9" s="85"/>
      <x:c r="Z9" s="85"/>
    </x:row>
    <x:row r="10">
      <x:c r="A10" s="95" t="str">
        <x:v>TC09</x:v>
      </x:c>
      <x:c r="B10" s="95" t="str">
        <x:v>high_dynamic_stress</x:v>
      </x:c>
      <x:c r="C10" s="95" t="str">
        <x:v>Advanced</x:v>
      </x:c>
      <x:c r="D10" s="95" t="str">
        <x:v>Simulated target motion</x:v>
      </x:c>
      <x:c r="E10" s="95" t="str">
        <x:v>Kalman</x:v>
      </x:c>
      <x:c r="F10" s="95" t="n">
        <x:v>120</x:v>
      </x:c>
      <x:c r="G10" s="95" t="n">
        <x:v>430</x:v>
      </x:c>
      <x:c r="H10" s="95" t="n">
        <x:v>820</x:v>
      </x:c>
      <x:c r="I10" s="95" t="n">
        <x:v>430</x:v>
      </x:c>
      <x:c r="J10" s="95" t="n">
        <x:v>700</x:v>
      </x:c>
      <x:c r="K10" s="95" t="n">
        <x:v>25</x:v>
      </x:c>
      <x:c r="L10" s="95" t="str">
        <x:v>High</x:v>
      </x:c>
      <x:c r="M10" s="95" t="str">
        <x:v>Enabled</x:v>
      </x:c>
      <x:c r="N10" s="95" t="str">
        <x:v>2.0x</x:v>
      </x:c>
      <x:c r="O10" s="95" t="n">
        <x:v>2</x:v>
      </x:c>
      <x:c r="P10" s="95" t="str">
        <x:v>Dense obstacle planning stress</x:v>
      </x:c>
      <x:c r="Q10" s="95" t="n">
        <x:v>30</x:v>
      </x:c>
      <x:c r="R10" s="95" t="str">
        <x:v>planning-stress.png</x:v>
      </x:c>
      <x:c r="S10" s="95" t="str">
        <x:v>Planning table, Failure timeline, Controlled Experiment Summary.</x:v>
      </x:c>
      <x:c r="T10" s="95" t="str">
        <x:v>From CSV: A* planning time, Dijkstra planning time, explored nodes, Dynamic replans, Collision count, Failure log count, Tracking RMSE.</x:v>
      </x:c>
      <x:c r="U10" s="95" t="str">
        <x:v>Stress-tests the combined planning and control system.</x:v>
      </x:c>
      <x:c r="V10" s="95" t="str">
        <x:v>Planning time and replans should increase. Some failures may appear; that is acceptable if analyzed clearly.</x:v>
      </x:c>
      <x:c r="W10" s="95" t="str">
        <x:v>Stress behavior and failure boundaries.</x:v>
      </x:c>
      <x:c r="X10" s="85"/>
      <x:c r="Y10" s="85"/>
      <x:c r="Z10" s="85"/>
    </x:row>
    <x:row r="11">
      <x:c r="A11" s="95" t="str">
        <x:v>TC10</x:v>
      </x:c>
      <x:c r="B11" s="95" t="str">
        <x:v>webcam_validation</x:v>
      </x:c>
      <x:c r="C11" s="95" t="str">
        <x:v>Optional</x:v>
      </x:c>
      <x:c r="D11" s="95" t="str">
        <x:v>Webcam red-object tracker</x:v>
      </x:c>
      <x:c r="E11" s="95" t="str">
        <x:v>Kalman</x:v>
      </x:c>
      <x:c r="F11" s="95" t="n">
        <x:v>120</x:v>
      </x:c>
      <x:c r="G11" s="95" t="n">
        <x:v>430</x:v>
      </x:c>
      <x:c r="H11" s="95" t="str">
        <x:v>N/A</x:v>
      </x:c>
      <x:c r="I11" s="95" t="str">
        <x:v>N/A</x:v>
      </x:c>
      <x:c r="J11" s="95" t="str">
        <x:v>N/A</x:v>
      </x:c>
      <x:c r="K11" s="95" t="str">
        <x:v>Default</x:v>
      </x:c>
      <x:c r="L11" s="95" t="str">
        <x:v>Medium</x:v>
      </x:c>
      <x:c r="M11" s="95" t="str">
        <x:v>Disabled</x:v>
      </x:c>
      <x:c r="N11" s="95" t="str">
        <x:v>N/A</x:v>
      </x:c>
      <x:c r="O11" s="95" t="n">
        <x:v>2.8</x:v>
      </x:c>
      <x:c r="P11" s="95" t="str">
        <x:v>Normal baseline</x:v>
      </x:c>
      <x:c r="Q11" s="95" t="n">
        <x:v>30</x:v>
      </x:c>
      <x:c r="R11" s="95" t="str">
        <x:v>webcam-validation.png</x:v>
      </x:c>
      <x:c r="S11" s="95" t="str">
        <x:v>Webcam panel and live simulation; no need if webcam feature is removed.</x:v>
      </x:c>
      <x:c r="T11" s="95" t="str">
        <x:v>From CSV if recorded: Detection rate, Tracking RMSE, Mean tracking error. From UI: Webcam Status and mapped coordinate.</x:v>
      </x:c>
      <x:c r="U11" s="95" t="str">
        <x:v>Optional proof that the pipeline can accept real camera-derived coordinates.</x:v>
      </x:c>
      <x:c r="V11" s="95" t="str">
        <x:v>Webcam status should show Detected and mapped coordinates should change as red object moves.</x:v>
      </x:c>
      <x:c r="W11" s="95" t="str">
        <x:v>Real input validation. Remove this case if webcam is removed from project.</x:v>
      </x:c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pageMargins left="0.7" right="0.7" top="0.75" bottom="0.75" header="0.3" footer="0.3"/>
  <x:tableParts count="1">
    <x:tablePart xmlns:r="http://schemas.openxmlformats.org/officeDocument/2006/relationships" r:id="Re3a4294933174f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5" hidden="0" customWidth="1"/>
    <x:col min="4" max="4" width="45" hidden="0" customWidth="1"/>
    <x:col min="5" max="5" width="45" hidden="0" customWidth="1"/>
    <x:col min="6" max="6" width="40" hidden="0" customWidth="1"/>
    <x:col min="7" max="7" width="45" hidden="0" customWidth="1"/>
    <x:col min="8" max="8" width="55" hidden="0" customWidth="1"/>
  </x:cols>
  <x:sheetData>
    <x:row r="1">
      <x:c r="A1" s="87" t="str">
        <x:v>Case ID</x:v>
      </x:c>
      <x:c r="B1" s="87" t="str">
        <x:v>Trial name</x:v>
      </x:c>
      <x:c r="C1" s="87" t="str">
        <x:v>Exact setup steps</x:v>
      </x:c>
      <x:c r="D1" s="87" t="str">
        <x:v>What to screenshot</x:v>
      </x:c>
      <x:c r="E1" s="87" t="str">
        <x:v>What to extract</x:v>
      </x:c>
      <x:c r="F1" s="87" t="str">
        <x:v>Why this test matters</x:v>
      </x:c>
      <x:c r="G1" s="87" t="str">
        <x:v>How to interpret output</x:v>
      </x:c>
      <x:c r="H1" s="87" t="str">
        <x:v>README sentence template</x:v>
      </x:c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>
      <x:c r="A2" s="95" t="str">
        <x:v>TC01</x:v>
      </x:c>
      <x:c r="B2" s="95" t="str">
        <x:v>baseline</x:v>
      </x:c>
      <x:c r="C2" s="95" t="str">
        <x:v>1) Set Target Source = Simulated target motion
2) Set Estimator = Kalman
3) Set Robot X/Y = 120, 430 and Target X/Y = 820, 430
4) Set Camera Range = 700, Sensor Noise = 25
5) Set Obstacle Density = Medium; Dynamic Obstacles = Disabled; Dynamic Speed = N/A
6) Set Robot Max Velocity = 2.8; Failure Scenario = Normal baseline
7) Apply Initial Positions → Reset → Start → Start Recording Trial → wait 30 sec → Stop &amp; Save Trial</x:v>
      </x:c>
      <x:c r="D2" s="95" t="str">
        <x:v>Canvas + live status panel. Show red target, orange measurement, green Kalman estimate, blue robot, grey obstacles, and A* path.</x:v>
      </x:c>
      <x:c r="E2" s="95" t="str">
        <x:v>From experiment-summary.csv: Tracking RMSE, Mean tracking error, Detection rate, A* planning time, Collision count.</x:v>
      </x:c>
      <x:c r="F2" s="95" t="str">
        <x:v>Creates the normal reference run for comparing every other scenario.</x:v>
      </x:c>
      <x:c r="G2" s="95" t="str">
        <x:v>Target should acquire quickly, robot follows smoothly, A* path is visible, collision count should remain low.</x:v>
      </x:c>
      <x:c r="H2" s="95" t="str">
        <x:v>In the baseline trial, the robot acquired the target and followed the Kalman-estimated position while planning around medium-density obstacles.</x:v>
      </x:c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95" t="str">
        <x:v>TC02</x:v>
      </x:c>
      <x:c r="B3" s="95" t="str">
        <x:v>high_noise</x:v>
      </x:c>
      <x:c r="C3" s="95" t="str">
        <x:v>1) Set Target Source = Simulated target motion
2) Set Estimator = Kalman
3) Set Robot X/Y = 120, 430 and Target X/Y = 820, 430
4) Set Camera Range = 700, Sensor Noise = 70
5) Set Obstacle Density = Medium; Dynamic Obstacles = Disabled; Dynamic Speed = N/A
6) Set Robot Max Velocity = 2.8; Failure Scenario = Normal baseline
7) Apply Initial Positions → Reset → Start → Start Recording Trial → wait 30 sec → Stop &amp; Save Trial</x:v>
      </x:c>
      <x:c r="D3" s="95" t="str">
        <x:v>Canvas + estimator comparison table. Make sure orange raw measurement jumps away from the target while green Kalman estimate is smoother.</x:v>
      </x:c>
      <x:c r="E3" s="95" t="str">
        <x:v>From estimator comparison UI: Raw RMSE, Moving Average RMSE, Kalman RMSE. From CSV: Tracking RMSE, Mean tracking error, Detection rate.</x:v>
      </x:c>
      <x:c r="F3" s="95" t="str">
        <x:v>Proves why Kalman filtering is needed when camera measurements are noisy.</x:v>
      </x:c>
      <x:c r="G3" s="95" t="str">
        <x:v>Orange measurement should be unstable; green estimate should remain smoother. Kalman RMSE should ideally be below raw RMSE.</x:v>
      </x:c>
      <x:c r="H3" s="95" t="str">
        <x:v>Under high sensor noise, the Kalman estimate was compared with raw camera measurements to quantify noise reduction.</x:v>
      </x:c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95" t="str">
        <x:v>TC03</x:v>
      </x:c>
      <x:c r="B4" s="95" t="str">
        <x:v>line_of_sight_blocked</x:v>
      </x:c>
      <x:c r="C4" s="95" t="str">
        <x:v>1) Set Target Source = Simulated target motion
2) Set Estimator = Kalman
3) Set Robot X/Y = 220, 250 and Target X/Y = 600, 250
4) Set Camera Range = 700, Sensor Noise = 25
5) Set Obstacle Density = Medium; Dynamic Obstacles = Disabled; Dynamic Speed = N/A
6) Set Robot Max Velocity = 2.8; Failure Scenario = Normal baseline
7) Apply Initial Positions → Reset → Start → Start Recording Trial → wait 30 sec → Stop &amp; Save Trial</x:v>
      </x:c>
      <x:c r="D4" s="95" t="str">
        <x:v>Canvas + status cards. Show an obstacle between robot and target and Line of Sight = Blocked / Detection Status = Blocked by Obstacle or Not Acquired.</x:v>
      </x:c>
      <x:c r="E4" s="95" t="str">
        <x:v>From CSV: Detection rate, Line-of-sight blocked rate, Frames since detection if visible, Tracking RMSE if available.</x:v>
      </x:c>
      <x:c r="F4" s="95" t="str">
        <x:v>Tests realistic camera behavior: camera should not see through walls even when range is high.</x:v>
      </x:c>
      <x:c r="G4" s="95" t="str">
        <x:v>Detection rate should drop and LOS blocked rate should rise. If target starts hidden, target acquisition may remain Searching until visible.</x:v>
      </x:c>
      <x:c r="H4" s="95" t="str">
        <x:v>When the obstacle blocked line of sight, the camera measurement became unavailable and the tracker relied on prediction until visibility returned.</x:v>
      </x:c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95" t="str">
        <x:v>TC04</x:v>
      </x:c>
      <x:c r="B5" s="95" t="str">
        <x:v>dense_obstacles</x:v>
      </x:c>
      <x:c r="C5" s="95" t="str">
        <x:v>1) Set Target Source = Simulated target motion
2) Set Estimator = Kalman
3) Set Robot X/Y = 120, 430 and Target X/Y = 820, 430
4) Set Camera Range = 700, Sensor Noise = 25
5) Set Obstacle Density = High; Dynamic Obstacles = Disabled; Dynamic Speed = N/A
6) Set Robot Max Velocity = 2.8; Failure Scenario = Normal baseline
7) Apply Initial Positions → Reset → Start → Start Recording Trial → wait 30 sec → Stop &amp; Save Trial</x:v>
      </x:c>
      <x:c r="D5" s="95" t="str">
        <x:v>Canvas showing A* path around dense obstacles; then right Planning panel with A* vs Dijkstra table.</x:v>
      </x:c>
      <x:c r="E5" s="95" t="str">
        <x:v>From planner table/CSV: A* path length, Dijkstra path length, A* planning time, Dijkstra planning time, A* explored nodes, Dijkstra explored nodes, Collision count.</x:v>
      </x:c>
      <x:c r="F5" s="95" t="str">
        <x:v>Tests whether the robot can plan through a cluttered environment.</x:v>
      </x:c>
      <x:c r="G5" s="95" t="str">
        <x:v>A* and Dijkstra should produce similar path lengths; A* should usually explore fewer cells than Dijkstra; collisions should stay low.</x:v>
      </x:c>
      <x:c r="H5" s="95" t="str">
        <x:v>In dense obstacle maps, A* was compared with Dijkstra using path length, planning time, and explored nodes.</x:v>
      </x:c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95" t="str">
        <x:v>TC05</x:v>
      </x:c>
      <x:c r="B6" s="95" t="str">
        <x:v>dynamic_obstacles</x:v>
      </x:c>
      <x:c r="C6" s="95" t="str">
        <x:v>1) Set Target Source = Simulated target motion
2) Set Estimator = Kalman
3) Set Robot X/Y = 120, 430 and Target X/Y = 820, 430
4) Set Camera Range = 700, Sensor Noise = 25
5) Set Obstacle Density = Medium; Dynamic Obstacles = Enabled; Dynamic Speed = 1.5x
6) Set Robot Max Velocity = 2.8; Failure Scenario = Normal baseline
7) Apply Initial Positions → Reset → Start → Start Recording Trial → wait 30 sec → Stop &amp; Save Trial</x:v>
      </x:c>
      <x:c r="D6" s="95" t="str">
        <x:v>Canvas + dynamic obstacle metrics. Show orange moving obstacles, A* path, Dynamic Obstacles = Enabled, and Dynamic Replans count.</x:v>
      </x:c>
      <x:c r="E6" s="95" t="str">
        <x:v>From CSV: Dynamic replans, Tracking RMSE, Mean tracking error, Collision count, A* planning time.</x:v>
      </x:c>
      <x:c r="F6" s="95" t="str">
        <x:v>Tests whether the robot replans when the environment changes.</x:v>
      </x:c>
      <x:c r="G6" s="95" t="str">
        <x:v>Dynamic replans should be greater than 0. Tracking error may increase compared with baseline, but collision count should remain low.</x:v>
      </x:c>
      <x:c r="H6" s="95" t="str">
        <x:v>With dynamic obstacles enabled, the planner replanned when moving obstacles interfered with the route.</x:v>
      </x:c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95" t="str">
        <x:v>TC06</x:v>
      </x:c>
      <x:c r="B7" s="95" t="str">
        <x:v>slow_robot</x:v>
      </x:c>
      <x:c r="C7" s="95" t="str">
        <x:v>1) Set Target Source = Simulated target motion
2) Set Estimator = Kalman
3) Set Robot X/Y = 120, 430 and Target X/Y = 820, 430
4) Set Camera Range = 700, Sensor Noise = 25
5) Set Obstacle Density = Medium; Dynamic Obstacles = Enabled; Dynamic Speed = 1.5x
6) Set Robot Max Velocity = 1.2; Failure Scenario = Robot too slow for target/dynamic obstacles
7) Apply Initial Positions → Reset → Start → Start Recording Trial → wait 30 sec → Stop &amp; Save Trial</x:v>
      </x:c>
      <x:c r="D7" s="95" t="str">
        <x:v>Canvas + Failure Status / Failure Lab panel. Show System Health, Active Failure Case, Failure Severity, Failure Log Count.</x:v>
      </x:c>
      <x:c r="E7" s="95" t="str">
        <x:v>From CSV: Tracking RMSE, Mean tracking error, Collision count, Dynamic replans, Failure log count / Active failure if displayed.</x:v>
      </x:c>
      <x:c r="F7" s="95" t="str">
        <x:v>Shows the limitation of the robot controller when the robot cannot keep up.</x:v>
      </x:c>
      <x:c r="G7" s="95" t="str">
        <x:v>Tracking RMSE should increase compared with baseline. Failure panel may detect high tracking error or robot-control limitation.</x:v>
      </x:c>
      <x:c r="H7" s="95" t="str">
        <x:v>When robot speed was limited, tracking error increased, demonstrating the control limitation of the system.</x:v>
      </x:c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95" t="str">
        <x:v>TC07</x:v>
      </x:c>
      <x:c r="B8" s="95" t="str">
        <x:v>low_camera_range</x:v>
      </x:c>
      <x:c r="C8" s="95" t="str">
        <x:v>1) Set Target Source = Simulated target motion
2) Set Estimator = Kalman
3) Set Robot X/Y = 120, 430 and Target X/Y = 820, 430
4) Set Camera Range = 250, Sensor Noise = 25
5) Set Obstacle Density = Medium; Dynamic Obstacles = Disabled; Dynamic Speed = N/A
6) Set Robot Max Velocity = 2.8; Failure Scenario = Normal baseline
7) Apply Initial Positions → Reset → Start → Start Recording Trial → wait 30 sec → Stop &amp; Save Trial</x:v>
      </x:c>
      <x:c r="D8" s="95" t="str">
        <x:v>Canvas + status cards. Show detection/acquisition loss when target is outside camera range.</x:v>
      </x:c>
      <x:c r="E8" s="95" t="str">
        <x:v>From CSV: Detection rate, Frames since detection if visible, Tracking RMSE, Mean tracking error.</x:v>
      </x:c>
      <x:c r="F8" s="95" t="str">
        <x:v>Tests camera range limitation separately from obstacle blocking.</x:v>
      </x:c>
      <x:c r="G8" s="95" t="str">
        <x:v>Detection rate should drop compared with baseline. Robot should only track after target is acquired or visible.</x:v>
      </x:c>
      <x:c r="H8" s="95" t="str">
        <x:v>Use this case to document the stated behavior with measured CSV values and screenshot evidence.</x:v>
      </x:c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95" t="str">
        <x:v>TC08</x:v>
      </x:c>
      <x:c r="B9" s="95" t="str">
        <x:v>target_hidden_start</x:v>
      </x:c>
      <x:c r="C9" s="95" t="str">
        <x:v>1) Set Target Source = Simulated target motion
2) Set Estimator = Kalman
3) Set Robot X/Y = 220, 250 and Target X/Y = 600, 250
4) Set Camera Range = 700, Sensor Noise = 25
5) Set Obstacle Density = Medium; Dynamic Obstacles = Disabled; Dynamic Speed = N/A
6) Set Robot Max Velocity = 2.8; Failure Scenario = Target initially hidden behind obstacle
7) Apply Initial Positions → Reset → Start → Start Recording Trial → wait 30 sec → Stop &amp; Save Trial</x:v>
      </x:c>
      <x:c r="D9" s="95" t="str">
        <x:v>Canvas + Target Acquisition card. Show Target Acquisition = Searching / Not Acquired before first visible detection.</x:v>
      </x:c>
      <x:c r="E9" s="95" t="str">
        <x:v>From CSV: Detection rate, LOS blocked rate, Frames since detection, Target acquired status if included.</x:v>
      </x:c>
      <x:c r="F9" s="95" t="str">
        <x:v>Proves the robot does not magically know the target initial position.</x:v>
      </x:c>
      <x:c r="G9" s="95" t="str">
        <x:v>Robot waits/searches until a valid camera detection occurs. A* should not plan to true target before acquisition.</x:v>
      </x:c>
      <x:c r="H9" s="95" t="str">
        <x:v>Use this case to document the stated behavior with measured CSV values and screenshot evidence.</x:v>
      </x:c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95" t="str">
        <x:v>TC09</x:v>
      </x:c>
      <x:c r="B10" s="95" t="str">
        <x:v>high_dynamic_stress</x:v>
      </x:c>
      <x:c r="C10" s="95" t="str">
        <x:v>1) Set Target Source = Simulated target motion
2) Set Estimator = Kalman
3) Set Robot X/Y = 120, 430 and Target X/Y = 820, 430
4) Set Camera Range = 700, Sensor Noise = 25
5) Set Obstacle Density = High; Dynamic Obstacles = Enabled; Dynamic Speed = 2.0x
6) Set Robot Max Velocity = 2.0; Failure Scenario = Dense obstacle planning stress
7) Apply Initial Positions → Reset → Start → Start Recording Trial → wait 30 sec → Stop &amp; Save Trial</x:v>
      </x:c>
      <x:c r="D10" s="95" t="str">
        <x:v>Canvas + Planning + Failure Status panels. Show high obstacle density, dynamic obstacle movement, replans, and any failure case.</x:v>
      </x:c>
      <x:c r="E10" s="95" t="str">
        <x:v>From CSV: A* planning time, Dijkstra planning time, explored nodes, Dynamic replans, Collision count, Failure log count, Tracking RMSE.</x:v>
      </x:c>
      <x:c r="F10" s="95" t="str">
        <x:v>Stress-tests the combined planning and control system.</x:v>
      </x:c>
      <x:c r="G10" s="95" t="str">
        <x:v>Planning time and replans should increase. Some failures may appear; that is acceptable if analyzed clearly.</x:v>
      </x:c>
      <x:c r="H10" s="95" t="str">
        <x:v>Use this case to document the stated behavior with measured CSV values and screenshot evidence.</x:v>
      </x:c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95" t="str">
        <x:v>TC10</x:v>
      </x:c>
      <x:c r="B11" s="95" t="str">
        <x:v>webcam_validation</x:v>
      </x:c>
      <x:c r="C11" s="95" t="str">
        <x:v>1) Set Target Source = Webcam red-object tracker
2) Set Estimator = Kalman
3) Set Robot X/Y = 120, 430 and Target X/Y = N/A, N/A
4) Set Camera Range = N/A, Sensor Noise = Default
5) Set Obstacle Density = Medium; Dynamic Obstacles = Disabled; Dynamic Speed = N/A
6) Set Robot Max Velocity = 2.8; Failure Scenario = Normal baseline
7) Apply Initial Positions → Reset → Start → Start Recording Trial → wait 30 sec → Stop &amp; Save Trial</x:v>
      </x:c>
      <x:c r="D11" s="95" t="str">
        <x:v>Webcam panel + simulation canvas. Show red object in webcam, Webcam Status = Detected, mapped coordinate, and robot response.</x:v>
      </x:c>
      <x:c r="E11" s="95" t="str">
        <x:v>From CSV if recorded: Detection rate, Tracking RMSE, Mean tracking error. From UI: Webcam Status and mapped coordinate.</x:v>
      </x:c>
      <x:c r="F11" s="95" t="str">
        <x:v>Optional proof that the pipeline can accept real camera-derived coordinates.</x:v>
      </x:c>
      <x:c r="G11" s="95" t="str">
        <x:v>Webcam status should show Detected and mapped coordinates should change as red object moves.</x:v>
      </x:c>
      <x:c r="H11" s="95" t="str">
        <x:v>Use this case to document the stated behavior with measured CSV values and screenshot evidence.</x:v>
      </x:c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34" hidden="0" customWidth="1"/>
    <x:col min="5" max="5" width="55" hidden="0" customWidth="1"/>
    <x:col min="6" max="6" width="46" hidden="0" customWidth="1"/>
    <x:col min="7" max="7" width="16" hidden="0" customWidth="1"/>
  </x:cols>
  <x:sheetData>
    <x:row r="1">
      <x:c r="A1" s="94" t="str">
        <x:v>Screenshot file</x:v>
      </x:c>
      <x:c r="B1" s="94" t="str">
        <x:v>Required test case</x:v>
      </x:c>
      <x:c r="C1" s="94" t="str">
        <x:v>Open panel/tab</x:v>
      </x:c>
      <x:c r="D1" s="94" t="str">
        <x:v>Crop area</x:v>
      </x:c>
      <x:c r="E1" s="94" t="str">
        <x:v>Must be visible</x:v>
      </x:c>
      <x:c r="F1" s="94" t="str">
        <x:v>Purpose in README</x:v>
      </x:c>
      <x:c r="G1" s="94" t="str">
        <x:v>Status</x:v>
      </x:c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>
      <x:c r="A2" s="95" t="str">
        <x:v>main-simulation.png</x:v>
      </x:c>
      <x:c r="B2" s="95" t="str">
        <x:v>TC01 baseline</x:v>
      </x:c>
      <x:c r="C2" s="95" t="str">
        <x:v>Live Simulation / Live Metrics</x:v>
      </x:c>
      <x:c r="D2" s="95" t="str">
        <x:v>Canvas + live status cards</x:v>
      </x:c>
      <x:c r="E2" s="95" t="str">
        <x:v>Red target, orange measurement, green estimate, blue robot, A* path, Acquired status</x:v>
      </x:c>
      <x:c r="F2" s="95" t="str">
        <x:v>Shows full system working</x:v>
      </x:c>
      <x:c r="G2" s="95" t="str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95" t="str">
        <x:v>kalman-high-noise.png</x:v>
      </x:c>
      <x:c r="B3" s="95" t="str">
        <x:v>TC02 high_noise</x:v>
      </x:c>
      <x:c r="C3" s="95" t="str">
        <x:v>Estimator/Graphs or Live Simulation</x:v>
      </x:c>
      <x:c r="D3" s="95" t="str">
        <x:v>Canvas + estimator comparison table</x:v>
      </x:c>
      <x:c r="E3" s="95" t="str">
        <x:v>Orange noisy measurement separated from green Kalman estimate; Raw/MA/Kalman RMSE visible</x:v>
      </x:c>
      <x:c r="F3" s="95" t="str">
        <x:v>Shows Kalman smoothing under noise</x:v>
      </x:c>
      <x:c r="G3" s="95" t="str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95" t="str">
        <x:v>line-of-sight-blocked.png</x:v>
      </x:c>
      <x:c r="B4" s="95" t="str">
        <x:v>TC03 line_of_sight_blocked</x:v>
      </x:c>
      <x:c r="C4" s="95" t="str">
        <x:v>Live Simulation / Status</x:v>
      </x:c>
      <x:c r="D4" s="95" t="str">
        <x:v>Canvas + status cards</x:v>
      </x:c>
      <x:c r="E4" s="95" t="str">
        <x:v>Obstacle between robot and target; LOS Blocked; Detection Blocked/Not Acquired</x:v>
      </x:c>
      <x:c r="F4" s="95" t="str">
        <x:v>Shows camera cannot see through walls</x:v>
      </x:c>
      <x:c r="G4" s="95" t="str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95" t="str">
        <x:v>astar-path-planning.png</x:v>
      </x:c>
      <x:c r="B5" s="95" t="str">
        <x:v>TC04 dense_obstacles</x:v>
      </x:c>
      <x:c r="C5" s="95" t="str">
        <x:v>Live Simulation</x:v>
      </x:c>
      <x:c r="D5" s="95" t="str">
        <x:v>Canvas mostly</x:v>
      </x:c>
      <x:c r="E5" s="95" t="str">
        <x:v>A* path visibly going around grey obstacles</x:v>
      </x:c>
      <x:c r="F5" s="95" t="str">
        <x:v>Shows obstacle-aware planning</x:v>
      </x:c>
      <x:c r="G5" s="95" t="str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95" t="str">
        <x:v>astar-vs-dijkstra.png</x:v>
      </x:c>
      <x:c r="B6" s="95" t="str">
        <x:v>TC04 dense_obstacles</x:v>
      </x:c>
      <x:c r="C6" s="95" t="str">
        <x:v>Planning panel</x:v>
      </x:c>
      <x:c r="D6" s="95" t="str">
        <x:v>Planning table + small canvas if possible</x:v>
      </x:c>
      <x:c r="E6" s="95" t="str">
        <x:v>A* and Dijkstra path length/time/explored nodes</x:v>
      </x:c>
      <x:c r="F6" s="95" t="str">
        <x:v>Shows planner comparison</x:v>
      </x:c>
      <x:c r="G6" s="95" t="str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95" t="str">
        <x:v>dynamic-obstacles.png</x:v>
      </x:c>
      <x:c r="B7" s="95" t="str">
        <x:v>TC05 dynamic_obstacles</x:v>
      </x:c>
      <x:c r="C7" s="95" t="str">
        <x:v>Live Simulation / Planning</x:v>
      </x:c>
      <x:c r="D7" s="95" t="str">
        <x:v>Canvas + dynamic metrics</x:v>
      </x:c>
      <x:c r="E7" s="95" t="str">
        <x:v>Orange moving obstacles, A* path, dynamic replans &gt; 0</x:v>
      </x:c>
      <x:c r="F7" s="95" t="str">
        <x:v>Shows reactive replanning</x:v>
      </x:c>
      <x:c r="G7" s="95" t="str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95" t="str">
        <x:v>failure-case-analysis.png</x:v>
      </x:c>
      <x:c r="B8" s="95" t="str">
        <x:v>TC06 slow_robot or TC09 stress</x:v>
      </x:c>
      <x:c r="C8" s="95" t="str">
        <x:v>Failure Lab</x:v>
      </x:c>
      <x:c r="D8" s="95" t="str">
        <x:v>Failure panel + small canvas</x:v>
      </x:c>
      <x:c r="E8" s="95" t="str">
        <x:v>System Health, Active Failure Case, Severity, Failure Log Count</x:v>
      </x:c>
      <x:c r="F8" s="95" t="str">
        <x:v>Shows failure-case analysis</x:v>
      </x:c>
      <x:c r="G8" s="95" t="str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95" t="str">
        <x:v>controlled-experiments.png</x:v>
      </x:c>
      <x:c r="B9" s="95" t="str">
        <x:v>After TC01-TC06 saved</x:v>
      </x:c>
      <x:c r="C9" s="95" t="str">
        <x:v>Experiments panel</x:v>
      </x:c>
      <x:c r="D9" s="95" t="str">
        <x:v>Experiment list/graph/table</x:v>
      </x:c>
      <x:c r="E9" s="95" t="str">
        <x:v>Saved trial names and summary graph/table visible</x:v>
      </x:c>
      <x:c r="F9" s="95" t="str">
        <x:v>Shows quantitative evaluation workflow</x:v>
      </x:c>
      <x:c r="G9" s="95" t="str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95" t="str">
        <x:v>webcam-validation.png</x:v>
      </x:c>
      <x:c r="B10" s="95" t="str">
        <x:v>TC10 optional_webcam_validation</x:v>
      </x:c>
      <x:c r="C10" s="95" t="str">
        <x:v>Webcam Lab</x:v>
      </x:c>
      <x:c r="D10" s="95" t="str">
        <x:v>Webcam feed + simulation</x:v>
      </x:c>
      <x:c r="E10" s="95" t="str">
        <x:v>Red object, Webcam Status = Detected, mapped coordinate</x:v>
      </x:c>
      <x:c r="F10" s="95" t="str">
        <x:v>Optional real input validation; omit if webcam removed</x:v>
      </x:c>
      <x:c r="G10" s="95" t="str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5"/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dataValidations count="1">
    <x:dataValidation type="list" sqref="G2:G10">
      <x:formula1>"Not Started,Captured,Needs Retake,Skipped"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2" hidden="0" customWidth="1"/>
    <x:col min="11" max="11" width="18" hidden="0" customWidth="1"/>
    <x:col min="12" max="12" width="22" hidden="0" customWidth="1"/>
    <x:col min="13" max="13" width="15" hidden="0" customWidth="1"/>
    <x:col min="14" max="14" width="16" hidden="0" customWidth="1"/>
    <x:col min="15" max="15" width="15" hidden="0" customWidth="1"/>
    <x:col min="16" max="16" width="20" hidden="0" customWidth="1"/>
    <x:col min="17" max="17" width="18" hidden="0" customWidth="1"/>
    <x:col min="18" max="18" width="20" hidden="0" customWidth="1"/>
    <x:col min="19" max="19" width="20" hidden="0" customWidth="1"/>
    <x:col min="20" max="20" width="24" hidden="0" customWidth="1"/>
    <x:col min="21" max="21" width="24" hidden="0" customWidth="1"/>
    <x:col min="22" max="22" width="48" hidden="0" customWidth="1"/>
    <x:col min="23" max="23" width="30" hidden="0" customWidth="1"/>
    <x:col min="24" max="24" width="22" hidden="0" customWidth="1"/>
  </x:cols>
  <x:sheetData>
    <x:row r="1">
      <x:c r="A1" s="87" t="str">
        <x:v>Trial name</x:v>
      </x:c>
      <x:c r="B1" s="87" t="str">
        <x:v>Status</x:v>
      </x:c>
      <x:c r="C1" s="87" t="str">
        <x:v>Duration sec</x:v>
      </x:c>
      <x:c r="D1" s="87" t="str">
        <x:v>Tracking RMSE (px)</x:v>
      </x:c>
      <x:c r="E1" s="87" t="str">
        <x:v>Mean error (px)</x:v>
      </x:c>
      <x:c r="F1" s="87" t="str">
        <x:v>Detection rate (%)</x:v>
      </x:c>
      <x:c r="G1" s="87" t="str">
        <x:v>LOS blocked rate (%)</x:v>
      </x:c>
      <x:c r="H1" s="87" t="str">
        <x:v>Occlusion rate (%)</x:v>
      </x:c>
      <x:c r="I1" s="87" t="str">
        <x:v>A* planning time (ms)</x:v>
      </x:c>
      <x:c r="J1" s="87" t="str">
        <x:v>Dijkstra planning time (ms)</x:v>
      </x:c>
      <x:c r="K1" s="87" t="str">
        <x:v>A* explored nodes</x:v>
      </x:c>
      <x:c r="L1" s="87" t="str">
        <x:v>Dijkstra explored nodes</x:v>
      </x:c>
      <x:c r="M1" s="87" t="str">
        <x:v>Collision count</x:v>
      </x:c>
      <x:c r="N1" s="87" t="str">
        <x:v>Dynamic replans</x:v>
      </x:c>
      <x:c r="O1" s="87" t="str">
        <x:v>Raw RMSE (px)</x:v>
      </x:c>
      <x:c r="P1" s="87" t="str">
        <x:v>Moving Avg RMSE (px)</x:v>
      </x:c>
      <x:c r="Q1" s="87" t="str">
        <x:v>Kalman RMSE (px)</x:v>
      </x:c>
      <x:c r="R1" s="87" t="str">
        <x:v>RMSE vs baseline (px)</x:v>
      </x:c>
      <x:c r="S1" s="87" t="str">
        <x:v>RMSE % vs baseline</x:v>
      </x:c>
      <x:c r="T1" s="87" t="str">
        <x:v>A* node saving vs Dijkstra</x:v>
      </x:c>
      <x:c r="U1" s="87" t="str">
        <x:v>Kalman improvement vs raw</x:v>
      </x:c>
      <x:c r="V1" s="87" t="str">
        <x:v>Interpretation / note</x:v>
      </x:c>
      <x:c r="W1" s="87" t="str">
        <x:v>Screenshot file</x:v>
      </x:c>
      <x:c r="X1" s="87" t="str">
        <x:v>CSV/source row</x:v>
      </x:c>
      <x:c r="Y1" s="85"/>
      <x:c r="Z1" s="85"/>
    </x:row>
    <x:row r="2">
      <x:c r="A2" s="95" t="str">
        <x:v>baseline</x:v>
      </x:c>
      <x:c r="B2" s="95" t="str">
        <x:v>Not Started</x:v>
      </x:c>
      <x:c r="C2" s="95" t="n">
        <x:v>30</x:v>
      </x:c>
      <x:c r="D2" s="98" t="str"/>
      <x:c r="E2" s="98" t="str"/>
      <x:c r="F2" s="99" t="str"/>
      <x:c r="G2" s="99" t="str"/>
      <x:c r="H2" s="99" t="str"/>
      <x:c r="I2" s="98" t="str"/>
      <x:c r="J2" s="98" t="str"/>
      <x:c r="K2" s="100" t="str"/>
      <x:c r="L2" s="100" t="str"/>
      <x:c r="M2" s="100" t="str"/>
      <x:c r="N2" s="100" t="str"/>
      <x:c r="O2" s="98" t="str"/>
      <x:c r="P2" s="98" t="str"/>
      <x:c r="Q2" s="98" t="str"/>
      <x:c r="R2" s="95" t="str">
        <x:f>IF(OR(D2="",XLOOKUP("baseline",$A:$A,$D:$D)=""),"",D2-XLOOKUP("baseline",$A:$A,$D:$D))</x:f>
      </x:c>
      <x:c r="S2" s="101" t="str">
        <x:f>IF(OR(D2="",XLOOKUP("baseline",$A:$A,$D:$D)=""),"",D2/XLOOKUP("baseline",$A:$A,$D:$D)-1)</x:f>
      </x:c>
      <x:c r="T2" s="101" t="str">
        <x:f>IF(OR(K2="",L2="",L2=0),"",(L2-K2)/L2)</x:f>
      </x:c>
      <x:c r="U2" s="101" t="str">
        <x:f>IF(OR(O2="",Q2="",O2=0),"",(O2-Q2)/O2)</x:f>
      </x:c>
      <x:c r="V2" s="95" t="str"/>
      <x:c r="W2" s="95" t="str">
        <x:v>main-simulation.png</x:v>
      </x:c>
      <x:c r="X2" s="95" t="str"/>
      <x:c r="Y2" s="85"/>
      <x:c r="Z2" s="85"/>
    </x:row>
    <x:row r="3">
      <x:c r="A3" s="95" t="str">
        <x:v>high_noise</x:v>
      </x:c>
      <x:c r="B3" s="95" t="str">
        <x:v>Not Started</x:v>
      </x:c>
      <x:c r="C3" s="95" t="n">
        <x:v>30</x:v>
      </x:c>
      <x:c r="D3" s="98" t="str"/>
      <x:c r="E3" s="98" t="str"/>
      <x:c r="F3" s="99" t="str"/>
      <x:c r="G3" s="99" t="str"/>
      <x:c r="H3" s="99" t="str"/>
      <x:c r="I3" s="98" t="str"/>
      <x:c r="J3" s="98" t="str"/>
      <x:c r="K3" s="100" t="str"/>
      <x:c r="L3" s="100" t="str"/>
      <x:c r="M3" s="100" t="str"/>
      <x:c r="N3" s="100" t="str"/>
      <x:c r="O3" s="98" t="str"/>
      <x:c r="P3" s="98" t="str"/>
      <x:c r="Q3" s="98" t="str"/>
      <x:c r="R3" s="95" t="str">
        <x:f>IF(OR(D3="",XLOOKUP("baseline",$A:$A,$D:$D)=""),"",D3-XLOOKUP("baseline",$A:$A,$D:$D))</x:f>
      </x:c>
      <x:c r="S3" s="101" t="str">
        <x:f>IF(OR(D3="",XLOOKUP("baseline",$A:$A,$D:$D)=""),"",D3/XLOOKUP("baseline",$A:$A,$D:$D)-1)</x:f>
      </x:c>
      <x:c r="T3" s="101" t="str">
        <x:f>IF(OR(K3="",L3="",L3=0),"",(L3-K3)/L3)</x:f>
      </x:c>
      <x:c r="U3" s="101" t="str">
        <x:f>IF(OR(O3="",Q3="",O3=0),"",(O3-Q3)/O3)</x:f>
      </x:c>
      <x:c r="V3" s="95" t="str"/>
      <x:c r="W3" s="95" t="str">
        <x:v>kalman-high-noise.png</x:v>
      </x:c>
      <x:c r="X3" s="95" t="str"/>
      <x:c r="Y3" s="85"/>
      <x:c r="Z3" s="85"/>
    </x:row>
    <x:row r="4">
      <x:c r="A4" s="95" t="str">
        <x:v>line_of_sight_blocked</x:v>
      </x:c>
      <x:c r="B4" s="95" t="str">
        <x:v>Not Started</x:v>
      </x:c>
      <x:c r="C4" s="95" t="n">
        <x:v>30</x:v>
      </x:c>
      <x:c r="D4" s="98" t="str"/>
      <x:c r="E4" s="98" t="str"/>
      <x:c r="F4" s="99" t="str"/>
      <x:c r="G4" s="99" t="str"/>
      <x:c r="H4" s="99" t="str"/>
      <x:c r="I4" s="98" t="str"/>
      <x:c r="J4" s="98" t="str"/>
      <x:c r="K4" s="100" t="str"/>
      <x:c r="L4" s="100" t="str"/>
      <x:c r="M4" s="100" t="str"/>
      <x:c r="N4" s="100" t="str"/>
      <x:c r="O4" s="98" t="str"/>
      <x:c r="P4" s="98" t="str"/>
      <x:c r="Q4" s="98" t="str"/>
      <x:c r="R4" s="95" t="str">
        <x:f>IF(OR(D4="",XLOOKUP("baseline",$A:$A,$D:$D)=""),"",D4-XLOOKUP("baseline",$A:$A,$D:$D))</x:f>
      </x:c>
      <x:c r="S4" s="101" t="str">
        <x:f>IF(OR(D4="",XLOOKUP("baseline",$A:$A,$D:$D)=""),"",D4/XLOOKUP("baseline",$A:$A,$D:$D)-1)</x:f>
      </x:c>
      <x:c r="T4" s="101" t="str">
        <x:f>IF(OR(K4="",L4="",L4=0),"",(L4-K4)/L4)</x:f>
      </x:c>
      <x:c r="U4" s="101" t="str">
        <x:f>IF(OR(O4="",Q4="",O4=0),"",(O4-Q4)/O4)</x:f>
      </x:c>
      <x:c r="V4" s="95" t="str"/>
      <x:c r="W4" s="95" t="str">
        <x:v>line-of-sight-blocked.png</x:v>
      </x:c>
      <x:c r="X4" s="95" t="str"/>
      <x:c r="Y4" s="85"/>
      <x:c r="Z4" s="85"/>
    </x:row>
    <x:row r="5">
      <x:c r="A5" s="95" t="str">
        <x:v>dense_obstacles</x:v>
      </x:c>
      <x:c r="B5" s="95" t="str">
        <x:v>Not Started</x:v>
      </x:c>
      <x:c r="C5" s="95" t="n">
        <x:v>30</x:v>
      </x:c>
      <x:c r="D5" s="98" t="str"/>
      <x:c r="E5" s="98" t="str"/>
      <x:c r="F5" s="99" t="str"/>
      <x:c r="G5" s="99" t="str"/>
      <x:c r="H5" s="99" t="str"/>
      <x:c r="I5" s="98" t="str"/>
      <x:c r="J5" s="98" t="str"/>
      <x:c r="K5" s="100" t="str"/>
      <x:c r="L5" s="100" t="str"/>
      <x:c r="M5" s="100" t="str"/>
      <x:c r="N5" s="100" t="str"/>
      <x:c r="O5" s="98" t="str"/>
      <x:c r="P5" s="98" t="str"/>
      <x:c r="Q5" s="98" t="str"/>
      <x:c r="R5" s="95" t="str">
        <x:f>IF(OR(D5="",XLOOKUP("baseline",$A:$A,$D:$D)=""),"",D5-XLOOKUP("baseline",$A:$A,$D:$D))</x:f>
      </x:c>
      <x:c r="S5" s="101" t="str">
        <x:f>IF(OR(D5="",XLOOKUP("baseline",$A:$A,$D:$D)=""),"",D5/XLOOKUP("baseline",$A:$A,$D:$D)-1)</x:f>
      </x:c>
      <x:c r="T5" s="101" t="str">
        <x:f>IF(OR(K5="",L5="",L5=0),"",(L5-K5)/L5)</x:f>
      </x:c>
      <x:c r="U5" s="101" t="str">
        <x:f>IF(OR(O5="",Q5="",O5=0),"",(O5-Q5)/O5)</x:f>
      </x:c>
      <x:c r="V5" s="95" t="str"/>
      <x:c r="W5" s="95" t="str">
        <x:v>astar-path-planning.png</x:v>
      </x:c>
      <x:c r="X5" s="95" t="str"/>
      <x:c r="Y5" s="85"/>
      <x:c r="Z5" s="85"/>
    </x:row>
    <x:row r="6">
      <x:c r="A6" s="95" t="str">
        <x:v>dynamic_obstacles</x:v>
      </x:c>
      <x:c r="B6" s="95" t="str">
        <x:v>Not Started</x:v>
      </x:c>
      <x:c r="C6" s="95" t="n">
        <x:v>30</x:v>
      </x:c>
      <x:c r="D6" s="98" t="str"/>
      <x:c r="E6" s="98" t="str"/>
      <x:c r="F6" s="99" t="str"/>
      <x:c r="G6" s="99" t="str"/>
      <x:c r="H6" s="99" t="str"/>
      <x:c r="I6" s="98" t="str"/>
      <x:c r="J6" s="98" t="str"/>
      <x:c r="K6" s="100" t="str"/>
      <x:c r="L6" s="100" t="str"/>
      <x:c r="M6" s="100" t="str"/>
      <x:c r="N6" s="100" t="str"/>
      <x:c r="O6" s="98" t="str"/>
      <x:c r="P6" s="98" t="str"/>
      <x:c r="Q6" s="98" t="str"/>
      <x:c r="R6" s="95" t="str">
        <x:f>IF(OR(D6="",XLOOKUP("baseline",$A:$A,$D:$D)=""),"",D6-XLOOKUP("baseline",$A:$A,$D:$D))</x:f>
      </x:c>
      <x:c r="S6" s="101" t="str">
        <x:f>IF(OR(D6="",XLOOKUP("baseline",$A:$A,$D:$D)=""),"",D6/XLOOKUP("baseline",$A:$A,$D:$D)-1)</x:f>
      </x:c>
      <x:c r="T6" s="101" t="str">
        <x:f>IF(OR(K6="",L6="",L6=0),"",(L6-K6)/L6)</x:f>
      </x:c>
      <x:c r="U6" s="101" t="str">
        <x:f>IF(OR(O6="",Q6="",O6=0),"",(O6-Q6)/O6)</x:f>
      </x:c>
      <x:c r="V6" s="95" t="str"/>
      <x:c r="W6" s="95" t="str">
        <x:v>dynamic-obstacles.png</x:v>
      </x:c>
      <x:c r="X6" s="95" t="str"/>
      <x:c r="Y6" s="85"/>
      <x:c r="Z6" s="85"/>
    </x:row>
    <x:row r="7">
      <x:c r="A7" s="95" t="str">
        <x:v>slow_robot</x:v>
      </x:c>
      <x:c r="B7" s="95" t="str">
        <x:v>Not Started</x:v>
      </x:c>
      <x:c r="C7" s="95" t="n">
        <x:v>30</x:v>
      </x:c>
      <x:c r="D7" s="98" t="str"/>
      <x:c r="E7" s="98" t="str"/>
      <x:c r="F7" s="99" t="str"/>
      <x:c r="G7" s="99" t="str"/>
      <x:c r="H7" s="99" t="str"/>
      <x:c r="I7" s="98" t="str"/>
      <x:c r="J7" s="98" t="str"/>
      <x:c r="K7" s="100" t="str"/>
      <x:c r="L7" s="100" t="str"/>
      <x:c r="M7" s="100" t="str"/>
      <x:c r="N7" s="100" t="str"/>
      <x:c r="O7" s="98" t="str"/>
      <x:c r="P7" s="98" t="str"/>
      <x:c r="Q7" s="98" t="str"/>
      <x:c r="R7" s="95" t="str">
        <x:f>IF(OR(D7="",XLOOKUP("baseline",$A:$A,$D:$D)=""),"",D7-XLOOKUP("baseline",$A:$A,$D:$D))</x:f>
      </x:c>
      <x:c r="S7" s="101" t="str">
        <x:f>IF(OR(D7="",XLOOKUP("baseline",$A:$A,$D:$D)=""),"",D7/XLOOKUP("baseline",$A:$A,$D:$D)-1)</x:f>
      </x:c>
      <x:c r="T7" s="101" t="str">
        <x:f>IF(OR(K7="",L7="",L7=0),"",(L7-K7)/L7)</x:f>
      </x:c>
      <x:c r="U7" s="101" t="str">
        <x:f>IF(OR(O7="",Q7="",O7=0),"",(O7-Q7)/O7)</x:f>
      </x:c>
      <x:c r="V7" s="95" t="str"/>
      <x:c r="W7" s="95" t="str">
        <x:v>failure-case-analysis.png</x:v>
      </x:c>
      <x:c r="X7" s="95" t="str"/>
      <x:c r="Y7" s="85"/>
      <x:c r="Z7" s="85"/>
    </x:row>
    <x:row r="8">
      <x:c r="A8" s="95" t="str">
        <x:v>low_camera_range</x:v>
      </x:c>
      <x:c r="B8" s="95" t="str">
        <x:v>Not Started</x:v>
      </x:c>
      <x:c r="C8" s="95" t="n">
        <x:v>30</x:v>
      </x:c>
      <x:c r="D8" s="98" t="str"/>
      <x:c r="E8" s="98" t="str"/>
      <x:c r="F8" s="99" t="str"/>
      <x:c r="G8" s="99" t="str"/>
      <x:c r="H8" s="99" t="str"/>
      <x:c r="I8" s="98" t="str"/>
      <x:c r="J8" s="98" t="str"/>
      <x:c r="K8" s="100" t="str"/>
      <x:c r="L8" s="100" t="str"/>
      <x:c r="M8" s="100" t="str"/>
      <x:c r="N8" s="100" t="str"/>
      <x:c r="O8" s="98" t="str"/>
      <x:c r="P8" s="98" t="str"/>
      <x:c r="Q8" s="98" t="str"/>
      <x:c r="R8" s="95" t="str">
        <x:f>IF(OR(D8="",XLOOKUP("baseline",$A:$A,$D:$D)=""),"",D8-XLOOKUP("baseline",$A:$A,$D:$D))</x:f>
      </x:c>
      <x:c r="S8" s="101" t="str">
        <x:f>IF(OR(D8="",XLOOKUP("baseline",$A:$A,$D:$D)=""),"",D8/XLOOKUP("baseline",$A:$A,$D:$D)-1)</x:f>
      </x:c>
      <x:c r="T8" s="101" t="str">
        <x:f>IF(OR(K8="",L8="",L8=0),"",(L8-K8)/L8)</x:f>
      </x:c>
      <x:c r="U8" s="101" t="str">
        <x:f>IF(OR(O8="",Q8="",O8=0),"",(O8-Q8)/O8)</x:f>
      </x:c>
      <x:c r="V8" s="95" t="str"/>
      <x:c r="W8" s="95" t="str">
        <x:v>camera-range-loss.png</x:v>
      </x:c>
      <x:c r="X8" s="95" t="str"/>
      <x:c r="Y8" s="85"/>
      <x:c r="Z8" s="85"/>
    </x:row>
    <x:row r="9">
      <x:c r="A9" s="95" t="str">
        <x:v>target_hidden_start</x:v>
      </x:c>
      <x:c r="B9" s="95" t="str">
        <x:v>Not Started</x:v>
      </x:c>
      <x:c r="C9" s="95" t="n">
        <x:v>30</x:v>
      </x:c>
      <x:c r="D9" s="98" t="str"/>
      <x:c r="E9" s="98" t="str"/>
      <x:c r="F9" s="99" t="str"/>
      <x:c r="G9" s="99" t="str"/>
      <x:c r="H9" s="99" t="str"/>
      <x:c r="I9" s="98" t="str"/>
      <x:c r="J9" s="98" t="str"/>
      <x:c r="K9" s="100" t="str"/>
      <x:c r="L9" s="100" t="str"/>
      <x:c r="M9" s="100" t="str"/>
      <x:c r="N9" s="100" t="str"/>
      <x:c r="O9" s="98" t="str"/>
      <x:c r="P9" s="98" t="str"/>
      <x:c r="Q9" s="98" t="str"/>
      <x:c r="R9" s="95" t="str">
        <x:f>IF(OR(D9="",XLOOKUP("baseline",$A:$A,$D:$D)=""),"",D9-XLOOKUP("baseline",$A:$A,$D:$D))</x:f>
      </x:c>
      <x:c r="S9" s="101" t="str">
        <x:f>IF(OR(D9="",XLOOKUP("baseline",$A:$A,$D:$D)=""),"",D9/XLOOKUP("baseline",$A:$A,$D:$D)-1)</x:f>
      </x:c>
      <x:c r="T9" s="101" t="str">
        <x:f>IF(OR(K9="",L9="",L9=0),"",(L9-K9)/L9)</x:f>
      </x:c>
      <x:c r="U9" s="101" t="str">
        <x:f>IF(OR(O9="",Q9="",O9=0),"",(O9-Q9)/O9)</x:f>
      </x:c>
      <x:c r="V9" s="95" t="str"/>
      <x:c r="W9" s="95" t="str">
        <x:v>target-acquisition-searching.png</x:v>
      </x:c>
      <x:c r="X9" s="95" t="str"/>
      <x:c r="Y9" s="85"/>
      <x:c r="Z9" s="85"/>
    </x:row>
    <x:row r="10">
      <x:c r="A10" s="95" t="str">
        <x:v>high_dynamic_stress</x:v>
      </x:c>
      <x:c r="B10" s="95" t="str">
        <x:v>Not Started</x:v>
      </x:c>
      <x:c r="C10" s="95" t="n">
        <x:v>30</x:v>
      </x:c>
      <x:c r="D10" s="98" t="str"/>
      <x:c r="E10" s="98" t="str"/>
      <x:c r="F10" s="99" t="str"/>
      <x:c r="G10" s="99" t="str"/>
      <x:c r="H10" s="99" t="str"/>
      <x:c r="I10" s="98" t="str"/>
      <x:c r="J10" s="98" t="str"/>
      <x:c r="K10" s="100" t="str"/>
      <x:c r="L10" s="100" t="str"/>
      <x:c r="M10" s="100" t="str"/>
      <x:c r="N10" s="100" t="str"/>
      <x:c r="O10" s="98" t="str"/>
      <x:c r="P10" s="98" t="str"/>
      <x:c r="Q10" s="98" t="str"/>
      <x:c r="R10" s="95" t="str">
        <x:f>IF(OR(D10="",XLOOKUP("baseline",$A:$A,$D:$D)=""),"",D10-XLOOKUP("baseline",$A:$A,$D:$D))</x:f>
      </x:c>
      <x:c r="S10" s="101" t="str">
        <x:f>IF(OR(D10="",XLOOKUP("baseline",$A:$A,$D:$D)=""),"",D10/XLOOKUP("baseline",$A:$A,$D:$D)-1)</x:f>
      </x:c>
      <x:c r="T10" s="101" t="str">
        <x:f>IF(OR(K10="",L10="",L10=0),"",(L10-K10)/L10)</x:f>
      </x:c>
      <x:c r="U10" s="101" t="str">
        <x:f>IF(OR(O10="",Q10="",O10=0),"",(O10-Q10)/O10)</x:f>
      </x:c>
      <x:c r="V10" s="95" t="str"/>
      <x:c r="W10" s="95" t="str">
        <x:v>planning-stress.png</x:v>
      </x:c>
      <x:c r="X10" s="95" t="str"/>
      <x:c r="Y10" s="85"/>
      <x:c r="Z10" s="85"/>
    </x:row>
    <x:row r="11">
      <x:c r="A11" s="95" t="str">
        <x:v>webcam_validation</x:v>
      </x:c>
      <x:c r="B11" s="95" t="str">
        <x:v>Not Started</x:v>
      </x:c>
      <x:c r="C11" s="95" t="n">
        <x:v>30</x:v>
      </x:c>
      <x:c r="D11" s="98" t="str"/>
      <x:c r="E11" s="98" t="str"/>
      <x:c r="F11" s="99" t="str"/>
      <x:c r="G11" s="99" t="str"/>
      <x:c r="H11" s="99" t="str"/>
      <x:c r="I11" s="98" t="str"/>
      <x:c r="J11" s="98" t="str"/>
      <x:c r="K11" s="100" t="str"/>
      <x:c r="L11" s="100" t="str"/>
      <x:c r="M11" s="100" t="str"/>
      <x:c r="N11" s="100" t="str"/>
      <x:c r="O11" s="98" t="str"/>
      <x:c r="P11" s="98" t="str"/>
      <x:c r="Q11" s="98" t="str"/>
      <x:c r="R11" s="95" t="str">
        <x:f>IF(OR(D11="",XLOOKUP("baseline",$A:$A,$D:$D)=""),"",D11-XLOOKUP("baseline",$A:$A,$D:$D))</x:f>
      </x:c>
      <x:c r="S11" s="101" t="str">
        <x:f>IF(OR(D11="",XLOOKUP("baseline",$A:$A,$D:$D)=""),"",D11/XLOOKUP("baseline",$A:$A,$D:$D)-1)</x:f>
      </x:c>
      <x:c r="T11" s="101" t="str">
        <x:f>IF(OR(K11="",L11="",L11=0),"",(L11-K11)/L11)</x:f>
      </x:c>
      <x:c r="U11" s="101" t="str">
        <x:f>IF(OR(O11="",Q11="",O11=0),"",(O11-Q11)/O11)</x:f>
      </x:c>
      <x:c r="V11" s="95" t="str"/>
      <x:c r="W11" s="95" t="str">
        <x:v>webcam-validation.png</x:v>
      </x:c>
      <x:c r="X11" s="95" t="str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conditionalFormatting sqref="S2:S11">
    <x:cfRule type="cellIs" dxfId="0" priority="1" operator="greaterThan">
      <x:formula>0</x:formula>
    </x:cfRule>
  </x:conditionalFormatting>
  <x:conditionalFormatting sqref="T2:T11">
    <x:cfRule type="cellIs" dxfId="1" priority="2" operator="greaterThan">
      <x:formula>0</x:formula>
    </x:cfRule>
  </x:conditionalFormatting>
  <x:conditionalFormatting sqref="U2:U11">
    <x:cfRule type="cellIs" dxfId="2" priority="3" operator="greaterThan">
      <x:formula>0</x:formula>
    </x:cfRule>
  </x:conditionalFormatting>
  <x:dataValidations count="1">
    <x:dataValidation type="list" sqref="B2:B11">
      <x:formula1>"Not Started,In Progress,Done,Needs Rerun,Skipped"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a7d79f98c48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2" hidden="0" customWidth="1"/>
    <x:col min="4" max="4" width="90" hidden="0" customWidth="1"/>
  </x:cols>
  <x:sheetData>
    <x:row r="1">
      <x:c r="A1" s="106" t="str">
        <x:v>README / Professor Email Result Builder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7" t="str">
        <x:v>Evidence point</x:v>
      </x:c>
      <x:c r="B3" s="87" t="str">
        <x:v>Formula-based value</x:v>
      </x:c>
      <x:c r="C3" s="87" t="str">
        <x:v>How to use it</x:v>
      </x:c>
      <x:c r="D3" s="87" t="str">
        <x:v>Final sentence template</x:v>
      </x:c>
      <x:c r="E3" s="87" t="str"/>
      <x:c r="F3" s="87" t="str"/>
      <x:c r="G3" s="87" t="str"/>
      <x:c r="H3" s="87" t="str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5" t="str">
        <x:v>High-noise Kalman improvement</x:v>
      </x:c>
      <x:c r="B4" s="107" t="str">
        <x:f>IFERROR(IF(XLOOKUP("high_noise",'Results Entry'!$A:$A,'Results Entry'!$U:$U)="","Fill Results Entry",XLOOKUP("high_noise",'Results Entry'!$A:$A,'Results Entry'!$U:$U)),"Fill Results Entry")</x:f>
        <x:v>Fill Results Entry</x:v>
      </x:c>
      <x:c r="C4" s="85" t="str">
        <x:v>Use if U column for high_noise is positive.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5" t="str">
        <x:v>Dense-map A* node saving</x:v>
      </x:c>
      <x:c r="B5" s="107" t="str">
        <x:f>IFERROR(IF(XLOOKUP("dense_obstacles",'Results Entry'!$A:$A,'Results Entry'!$T:$T)="","Fill Results Entry",XLOOKUP("dense_obstacles",'Results Entry'!$A:$A,'Results Entry'!$T:$T)),"Fill Results Entry")</x:f>
        <x:v>Fill Results Entry</x:v>
      </x:c>
      <x:c r="C5" s="85" t="str">
        <x:v>Use if T column for dense_obstacles is positive.</x:v>
      </x:c>
      <x:c r="D5" s="85"/>
      <x:c r="E5" s="85"/>
      <x:c r="F5" s="85"/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5" t="str">
        <x:v>Dynamic replans</x:v>
      </x:c>
      <x:c r="B6" s="108" t="str">
        <x:f>IFERROR(IF(XLOOKUP("dynamic_obstacles",'Results Entry'!$A:$A,'Results Entry'!$N:$N)="","Fill Results Entry",XLOOKUP("dynamic_obstacles",'Results Entry'!$A:$A,'Results Entry'!$N:$N)),"Fill Results Entry")</x:f>
        <x:v>Fill Results Entry</x:v>
      </x:c>
      <x:c r="C6" s="85" t="str">
        <x:v>Use if dynamic_obstacles N value &gt; 0.</x:v>
      </x:c>
      <x:c r="D6" s="85"/>
      <x:c r="E6" s="85"/>
      <x:c r="F6" s="85"/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5" t="str">
        <x:v>LOS blocked rate</x:v>
      </x:c>
      <x:c r="B7" s="108" t="str">
        <x:f>IFERROR(IF(XLOOKUP("line_of_sight_blocked",'Results Entry'!$A:$A,'Results Entry'!$G:$G)="","Fill Results Entry",XLOOKUP("line_of_sight_blocked",'Results Entry'!$A:$A,'Results Entry'!$G:$G)),"Fill Results Entry")</x:f>
        <x:v>Fill Results Entry</x:v>
      </x:c>
      <x:c r="C7" s="85" t="str">
        <x:v>Use if line_of_sight_blocked G value is high.</x:v>
      </x:c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5" t="str">
        <x:v>Slow robot RMSE increase</x:v>
      </x:c>
      <x:c r="B8" s="107" t="str">
        <x:f>IFERROR(IF(XLOOKUP("slow_robot",'Results Entry'!$A:$A,'Results Entry'!$S:$S)="","Fill Results Entry",XLOOKUP("slow_robot",'Results Entry'!$A:$A,'Results Entry'!$S:$S)),"Fill Results Entry")</x:f>
        <x:v>Fill Results Entry</x:v>
      </x:c>
      <x:c r="C8" s="85" t="str">
        <x:v>Use if slow_robot S value is positive.</x:v>
      </x:c>
      <x:c r="D8" s="85"/>
      <x:c r="E8" s="85"/>
      <x:c r="F8" s="85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5" t="str">
        <x:v>Collision safety</x:v>
      </x:c>
      <x:c r="B9" s="109" t="n">
        <x:f>IFERROR(SUM('Results Entry'!$M$2:$M$7),"Fill Results Entry")</x:f>
        <x:v>0</x:v>
      </x:c>
      <x:c r="C9" s="85" t="str">
        <x:v>Use if collision count is low across core trials.</x:v>
      </x:c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5" t="str">
        <x:v>Core tests completed</x:v>
      </x:c>
      <x:c r="B10" s="109" t="n">
        <x:f>COUNTIF('Results Entry'!$B$2:$B$11,"Done")</x:f>
        <x:v>0</x:v>
      </x:c>
      <x:c r="C10" s="85" t="str">
        <x:v>Use as a sanity check before updating README.</x:v>
      </x:c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5" t="str">
        <x:v>Best README phrase</x:v>
      </x:c>
      <x:c r="B11" s="85" t="str"/>
      <x:c r="C11" s="85" t="str">
        <x:v>Use real numbers only after filling Results Entry.</x:v>
      </x:c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 t="str">
        <x:v>Professor phrase</x:v>
      </x:c>
      <x:c r="B12" s="85" t="str"/>
      <x:c r="C12" s="85" t="str">
        <x:v>Use in email without overclaiming.</x:v>
      </x:c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110" t="str">
        <x:v>Result sentence: high noise</x:v>
      </x:c>
      <x:c r="B14" s="110" t="str"/>
      <x:c r="C14" s="110" t="str"/>
      <x:c r="D14" s="110" t="str">
        <x:v>Under high sensor noise, the Kalman filter achieved a measured improvement over raw camera measurements. Replace this with exact Raw/Kalman RMSE values after filling Results Entry.</x:v>
      </x:c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111" t="str">
        <x:v>Result sentence: planning</x:v>
      </x:c>
      <x:c r="B15" s="111" t="str"/>
      <x:c r="C15" s="111" t="str"/>
      <x:c r="D15" s="111" t="str">
        <x:v>In dense obstacle maps, A* was compared with Dijkstra using the same start, goal, and obstacle map; use the measured explored-node saving from Results Entry.</x:v>
      </x:c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111" t="str">
        <x:v>Result sentence: LOS</x:v>
      </x:c>
      <x:c r="B16" s="111" t="str"/>
      <x:c r="C16" s="111" t="str"/>
      <x:c r="D16" s="111" t="str">
        <x:v>When line of sight was blocked, detection rate dropped and the system switched to prediction/target-acquisition behavior instead of seeing through obstacles.</x:v>
      </x:c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111" t="str">
        <x:v>Result sentence: dynamic obstacles</x:v>
      </x:c>
      <x:c r="B17" s="111" t="str"/>
      <x:c r="C17" s="111" t="str"/>
      <x:c r="D17" s="111" t="str">
        <x:v>With dynamic obstacles enabled, the planner performed reactive replanning while maintaining low collision count in the recorded trial.</x:v>
      </x:c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4" hidden="0" customWidth="1"/>
    <x:col min="4" max="4" width="38" hidden="0" customWidth="1"/>
    <x:col min="5" max="5" width="46" hidden="0" customWidth="1"/>
    <x:col min="6" max="6" width="16" hidden="0" customWidth="1"/>
  </x:cols>
  <x:sheetData>
    <x:row r="1">
      <x:c r="A1" s="106" t="str">
        <x:v>Final GitHub Submission Checklist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7" t="str">
        <x:v>Item</x:v>
      </x:c>
      <x:c r="B3" s="87" t="str">
        <x:v>Exact filename/path</x:v>
      </x:c>
      <x:c r="C3" s="87" t="str">
        <x:v>Required?</x:v>
      </x:c>
      <x:c r="D3" s="87" t="str">
        <x:v>How to create</x:v>
      </x:c>
      <x:c r="E3" s="87" t="str">
        <x:v>Why it matters</x:v>
      </x:c>
      <x:c r="F3" s="87" t="str">
        <x:v>Status</x:v>
      </x:c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95" t="str">
        <x:v>Summary CSV</x:v>
      </x:c>
      <x:c r="B4" s="95" t="str">
        <x:v>results/experiment-summary.csv</x:v>
      </x:c>
      <x:c r="C4" s="95" t="str">
        <x:v>Yes</x:v>
      </x:c>
      <x:c r="D4" s="95" t="str">
        <x:v>Export Summary CSV after saving trials</x:v>
      </x:c>
      <x:c r="E4" s="95" t="str">
        <x:v>Provides real quantitative evidence</x:v>
      </x:c>
      <x:c r="F4" s="95" t="str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95" t="str">
        <x:v>Frame CSV</x:v>
      </x:c>
      <x:c r="B5" s="95" t="str">
        <x:v>results/frame-log.csv</x:v>
      </x:c>
      <x:c r="C5" s="95" t="str">
        <x:v>Recommended</x:v>
      </x:c>
      <x:c r="D5" s="95" t="str">
        <x:v>Export Frame CSV after saving trials</x:v>
      </x:c>
      <x:c r="E5" s="95" t="str">
        <x:v>Shows detailed raw trial logs</x:v>
      </x:c>
      <x:c r="F5" s="95" t="str"/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95" t="str">
        <x:v>Main screenshot</x:v>
      </x:c>
      <x:c r="B6" s="95" t="str">
        <x:v>assets/screenshots/main-simulation.png</x:v>
      </x:c>
      <x:c r="C6" s="95" t="str">
        <x:v>Yes</x:v>
      </x:c>
      <x:c r="D6" s="95" t="str">
        <x:v>TC01 screenshot</x:v>
      </x:c>
      <x:c r="E6" s="95" t="str">
        <x:v>Shows full system</x:v>
      </x:c>
      <x:c r="F6" s="95" t="str"/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95" t="str">
        <x:v>Kalman screenshot</x:v>
      </x:c>
      <x:c r="B7" s="95" t="str">
        <x:v>assets/screenshots/kalman-high-noise.png</x:v>
      </x:c>
      <x:c r="C7" s="95" t="str">
        <x:v>Yes</x:v>
      </x:c>
      <x:c r="D7" s="95" t="str">
        <x:v>TC02 screenshot</x:v>
      </x:c>
      <x:c r="E7" s="95" t="str">
        <x:v>Shows estimation under noise</x:v>
      </x:c>
      <x:c r="F7" s="95" t="str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95" t="str">
        <x:v>LOS screenshot</x:v>
      </x:c>
      <x:c r="B8" s="95" t="str">
        <x:v>assets/screenshots/line-of-sight-blocked.png</x:v>
      </x:c>
      <x:c r="C8" s="95" t="str">
        <x:v>Yes</x:v>
      </x:c>
      <x:c r="D8" s="95" t="str">
        <x:v>TC03 screenshot</x:v>
      </x:c>
      <x:c r="E8" s="95" t="str">
        <x:v>Shows realistic camera blocking</x:v>
      </x:c>
      <x:c r="F8" s="95" t="str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95" t="str">
        <x:v>A* screenshot</x:v>
      </x:c>
      <x:c r="B9" s="95" t="str">
        <x:v>assets/screenshots/astar-path-planning.png</x:v>
      </x:c>
      <x:c r="C9" s="95" t="str">
        <x:v>Yes</x:v>
      </x:c>
      <x:c r="D9" s="95" t="str">
        <x:v>TC04 screenshot</x:v>
      </x:c>
      <x:c r="E9" s="95" t="str">
        <x:v>Shows path planning</x:v>
      </x:c>
      <x:c r="F9" s="95" t="str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95" t="str">
        <x:v>Planner comparison screenshot</x:v>
      </x:c>
      <x:c r="B10" s="95" t="str">
        <x:v>assets/screenshots/astar-vs-dijkstra.png</x:v>
      </x:c>
      <x:c r="C10" s="95" t="str">
        <x:v>Yes</x:v>
      </x:c>
      <x:c r="D10" s="95" t="str">
        <x:v>TC04 Planning panel</x:v>
      </x:c>
      <x:c r="E10" s="95" t="str">
        <x:v>Shows algorithm comparison</x:v>
      </x:c>
      <x:c r="F10" s="95" t="str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95" t="str">
        <x:v>Dynamic obstacle screenshot</x:v>
      </x:c>
      <x:c r="B11" s="95" t="str">
        <x:v>assets/screenshots/dynamic-obstacles.png</x:v>
      </x:c>
      <x:c r="C11" s="95" t="str">
        <x:v>Yes</x:v>
      </x:c>
      <x:c r="D11" s="95" t="str">
        <x:v>TC05 screenshot</x:v>
      </x:c>
      <x:c r="E11" s="95" t="str">
        <x:v>Shows replanning</x:v>
      </x:c>
      <x:c r="F11" s="95" t="str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95" t="str">
        <x:v>Failure analysis screenshot</x:v>
      </x:c>
      <x:c r="B12" s="95" t="str">
        <x:v>assets/screenshots/failure-case-analysis.png</x:v>
      </x:c>
      <x:c r="C12" s="95" t="str">
        <x:v>Yes</x:v>
      </x:c>
      <x:c r="D12" s="95" t="str">
        <x:v>TC06 or TC09 screenshot</x:v>
      </x:c>
      <x:c r="E12" s="95" t="str">
        <x:v>Shows failure diagnosis</x:v>
      </x:c>
      <x:c r="F12" s="95" t="str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95" t="str">
        <x:v>Experiment screenshot</x:v>
      </x:c>
      <x:c r="B13" s="95" t="str">
        <x:v>assets/screenshots/controlled-experiments.png</x:v>
      </x:c>
      <x:c r="C13" s="95" t="str">
        <x:v>Yes</x:v>
      </x:c>
      <x:c r="D13" s="95" t="str">
        <x:v>After saving all trials</x:v>
      </x:c>
      <x:c r="E13" s="95" t="str">
        <x:v>Shows experiment workflow</x:v>
      </x:c>
      <x:c r="F13" s="95" t="str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95" t="str">
        <x:v>Webcam screenshot</x:v>
      </x:c>
      <x:c r="B14" s="95" t="str">
        <x:v>assets/screenshots/webcam-validation.png</x:v>
      </x:c>
      <x:c r="C14" s="95" t="str">
        <x:v>Optional</x:v>
      </x:c>
      <x:c r="D14" s="95" t="str">
        <x:v>TC10 screenshot</x:v>
      </x:c>
      <x:c r="E14" s="95" t="str">
        <x:v>Only if webcam stays in project</x:v>
      </x:c>
      <x:c r="F14" s="95" t="str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95" t="str">
        <x:v>README updated</x:v>
      </x:c>
      <x:c r="B15" s="95" t="str">
        <x:v>README.md</x:v>
      </x:c>
      <x:c r="C15" s="95" t="str">
        <x:v>Yes</x:v>
      </x:c>
      <x:c r="D15" s="95" t="str">
        <x:v>Add screenshots and real result sentence</x:v>
      </x:c>
      <x:c r="E15" s="95" t="str">
        <x:v>Main reviewer-facing document</x:v>
      </x:c>
      <x:c r="F15" s="95" t="str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95" t="str">
        <x:v>Repo visibility</x:v>
      </x:c>
      <x:c r="B16" s="95" t="str">
        <x:v>Private for now</x:v>
      </x:c>
      <x:c r="C16" s="95" t="str">
        <x:v>Yes</x:v>
      </x:c>
      <x:c r="D16" s="95" t="str">
        <x:v>Keep private before professor outreach</x:v>
      </x:c>
      <x:c r="E16" s="95" t="str">
        <x:v>Reduces copy risk</x:v>
      </x:c>
      <x:c r="F16" s="95" t="str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  <x:row r="61">
      <x:c r="A61" s="85"/>
      <x:c r="B61" s="85"/>
      <x:c r="C61" s="85"/>
      <x:c r="D61" s="85"/>
      <x:c r="E61" s="85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</x:row>
    <x:row r="62">
      <x:c r="A62" s="85"/>
      <x:c r="B62" s="85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</x:row>
    <x:row r="63">
      <x:c r="A63" s="85"/>
      <x:c r="B63" s="85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</x:row>
    <x:row r="64">
      <x:c r="A64" s="85"/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</x:row>
    <x:row r="65">
      <x:c r="A65" s="85"/>
      <x:c r="B65" s="85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</x:row>
    <x:row r="66">
      <x:c r="A66" s="85"/>
      <x:c r="B66" s="85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</x:row>
    <x:row r="68">
      <x:c r="A68" s="85"/>
      <x:c r="B68" s="85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</x:row>
    <x:row r="69">
      <x:c r="A69" s="85"/>
      <x:c r="B69" s="85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</x:row>
    <x:row r="70">
      <x:c r="A70" s="85"/>
      <x:c r="B70" s="85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</x:row>
    <x:row r="71">
      <x:c r="A71" s="85"/>
      <x:c r="B71" s="85"/>
      <x:c r="C71" s="85"/>
      <x:c r="D71" s="85"/>
      <x:c r="E71" s="85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</x:row>
    <x:row r="72">
      <x:c r="A72" s="85"/>
      <x:c r="B72" s="85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</x:row>
    <x:row r="73">
      <x:c r="A73" s="85"/>
      <x:c r="B73" s="85"/>
      <x:c r="C73" s="85"/>
      <x:c r="D73" s="85"/>
      <x:c r="E73" s="85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</x:row>
    <x:row r="74">
      <x:c r="A74" s="85"/>
      <x:c r="B74" s="85"/>
      <x:c r="C74" s="85"/>
      <x:c r="D74" s="85"/>
      <x:c r="E74" s="85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</x:row>
    <x:row r="75">
      <x:c r="A75" s="85"/>
      <x:c r="B75" s="85"/>
      <x:c r="C75" s="85"/>
      <x:c r="D75" s="85"/>
      <x:c r="E75" s="85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</x:row>
    <x:row r="76">
      <x:c r="A76" s="85"/>
      <x:c r="B76" s="85"/>
      <x:c r="C76" s="85"/>
      <x:c r="D76" s="85"/>
      <x:c r="E76" s="85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</x:row>
    <x:row r="77">
      <x:c r="A77" s="85"/>
      <x:c r="B77" s="85"/>
      <x:c r="C77" s="85"/>
      <x:c r="D77" s="85"/>
      <x:c r="E77" s="85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</x:row>
    <x:row r="78">
      <x:c r="A78" s="85"/>
      <x:c r="B78" s="85"/>
      <x:c r="C78" s="85"/>
      <x:c r="D78" s="85"/>
      <x:c r="E78" s="85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</x:row>
    <x:row r="79">
      <x:c r="A79" s="85"/>
      <x:c r="B79" s="85"/>
      <x:c r="C79" s="85"/>
      <x:c r="D79" s="85"/>
      <x:c r="E79" s="85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</x:row>
    <x:row r="80">
      <x:c r="A80" s="85"/>
      <x:c r="B80" s="85"/>
      <x:c r="C80" s="85"/>
      <x:c r="D80" s="85"/>
      <x:c r="E80" s="85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</x:row>
    <x:row r="81">
      <x:c r="A81" s="85"/>
      <x:c r="B81" s="85"/>
      <x:c r="C81" s="85"/>
      <x:c r="D81" s="85"/>
      <x:c r="E81" s="85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</x:row>
    <x:row r="82">
      <x:c r="A82" s="85"/>
      <x:c r="B82" s="85"/>
      <x:c r="C82" s="85"/>
      <x:c r="D82" s="85"/>
      <x:c r="E82" s="85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</x:row>
    <x:row r="83">
      <x:c r="A83" s="85"/>
      <x:c r="B83" s="85"/>
      <x:c r="C83" s="85"/>
      <x:c r="D83" s="85"/>
      <x:c r="E83" s="85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</x:row>
    <x:row r="84">
      <x:c r="A84" s="85"/>
      <x:c r="B84" s="85"/>
      <x:c r="C84" s="85"/>
      <x:c r="D84" s="85"/>
      <x:c r="E84" s="85"/>
      <x:c r="F84" s="85"/>
      <x:c r="G84" s="85"/>
      <x:c r="H84" s="85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</x:row>
    <x:row r="85">
      <x:c r="A85" s="85"/>
      <x:c r="B85" s="85"/>
      <x:c r="C85" s="85"/>
      <x:c r="D85" s="85"/>
      <x:c r="E85" s="85"/>
      <x:c r="F85" s="85"/>
      <x:c r="G85" s="85"/>
      <x:c r="H85" s="85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</x:row>
    <x:row r="86">
      <x:c r="A86" s="85"/>
      <x:c r="B86" s="85"/>
      <x:c r="C86" s="85"/>
      <x:c r="D86" s="85"/>
      <x:c r="E86" s="85"/>
      <x:c r="F86" s="85"/>
      <x:c r="G86" s="85"/>
      <x:c r="H86" s="85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</x:row>
    <x:row r="87">
      <x:c r="A87" s="85"/>
      <x:c r="B87" s="85"/>
      <x:c r="C87" s="85"/>
      <x:c r="D87" s="85"/>
      <x:c r="E87" s="85"/>
      <x:c r="F87" s="85"/>
      <x:c r="G87" s="85"/>
      <x:c r="H87" s="85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</x:row>
    <x:row r="88">
      <x:c r="A88" s="85"/>
      <x:c r="B88" s="85"/>
      <x:c r="C88" s="85"/>
      <x:c r="D88" s="85"/>
      <x:c r="E88" s="85"/>
      <x:c r="F88" s="85"/>
      <x:c r="G88" s="85"/>
      <x:c r="H88" s="85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</x:row>
    <x:row r="89">
      <x:c r="A89" s="85"/>
      <x:c r="B89" s="85"/>
      <x:c r="C89" s="85"/>
      <x:c r="D89" s="85"/>
      <x:c r="E89" s="85"/>
      <x:c r="F89" s="85"/>
      <x:c r="G89" s="85"/>
      <x:c r="H89" s="85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</x:row>
    <x:row r="90">
      <x:c r="A90" s="85"/>
      <x:c r="B90" s="85"/>
      <x:c r="C90" s="85"/>
      <x:c r="D90" s="85"/>
      <x:c r="E90" s="85"/>
      <x:c r="F90" s="85"/>
      <x:c r="G90" s="85"/>
      <x:c r="H90" s="85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</x:row>
    <x:row r="91">
      <x:c r="A91" s="85"/>
      <x:c r="B91" s="85"/>
      <x:c r="C91" s="85"/>
      <x:c r="D91" s="85"/>
      <x:c r="E91" s="85"/>
      <x:c r="F91" s="85"/>
      <x:c r="G91" s="85"/>
      <x:c r="H91" s="85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</x:row>
    <x:row r="92">
      <x:c r="A92" s="85"/>
      <x:c r="B92" s="85"/>
      <x:c r="C92" s="85"/>
      <x:c r="D92" s="85"/>
      <x:c r="E92" s="85"/>
      <x:c r="F92" s="85"/>
      <x:c r="G92" s="85"/>
      <x:c r="H92" s="85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</x:row>
    <x:row r="93">
      <x:c r="A93" s="85"/>
      <x:c r="B93" s="85"/>
      <x:c r="C93" s="85"/>
      <x:c r="D93" s="85"/>
      <x:c r="E93" s="85"/>
      <x:c r="F93" s="85"/>
      <x:c r="G93" s="85"/>
      <x:c r="H93" s="85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</x:row>
    <x:row r="94">
      <x:c r="A94" s="85"/>
      <x:c r="B94" s="85"/>
      <x:c r="C94" s="85"/>
      <x:c r="D94" s="85"/>
      <x:c r="E94" s="85"/>
      <x:c r="F94" s="85"/>
      <x:c r="G94" s="85"/>
      <x:c r="H94" s="85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</x:row>
    <x:row r="95">
      <x:c r="A95" s="85"/>
      <x:c r="B95" s="85"/>
      <x:c r="C95" s="85"/>
      <x:c r="D95" s="85"/>
      <x:c r="E95" s="85"/>
      <x:c r="F95" s="85"/>
      <x:c r="G95" s="85"/>
      <x:c r="H95" s="85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</x:row>
    <x:row r="96">
      <x:c r="A96" s="85"/>
      <x:c r="B96" s="85"/>
      <x:c r="C96" s="85"/>
      <x:c r="D96" s="85"/>
      <x:c r="E96" s="85"/>
      <x:c r="F96" s="85"/>
      <x:c r="G96" s="85"/>
      <x:c r="H96" s="85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</x:row>
    <x:row r="97">
      <x:c r="A97" s="85"/>
      <x:c r="B97" s="85"/>
      <x:c r="C97" s="85"/>
      <x:c r="D97" s="85"/>
      <x:c r="E97" s="85"/>
      <x:c r="F97" s="85"/>
      <x:c r="G97" s="85"/>
      <x:c r="H97" s="85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</x:row>
    <x:row r="98">
      <x:c r="A98" s="85"/>
      <x:c r="B98" s="85"/>
      <x:c r="C98" s="85"/>
      <x:c r="D98" s="85"/>
      <x:c r="E98" s="85"/>
      <x:c r="F98" s="85"/>
      <x:c r="G98" s="85"/>
      <x:c r="H98" s="85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</x:row>
    <x:row r="99">
      <x:c r="A99" s="85"/>
      <x:c r="B99" s="85"/>
      <x:c r="C99" s="85"/>
      <x:c r="D99" s="85"/>
      <x:c r="E99" s="85"/>
      <x:c r="F99" s="85"/>
      <x:c r="G99" s="85"/>
      <x:c r="H99" s="85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</x:row>
    <x:row r="100">
      <x:c r="A100" s="85"/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</x:row>
  </x:sheetData>
  <x:mergeCells>
    <x:mergeCell ref="A1:F1"/>
  </x:mergeCells>
  <x:dataValidations count="1">
    <x:dataValidation type="list" sqref="F4:F16">
      <x:formula1>"Not Started,Done,Skipped,Needs Fix"</x:formula1>
    </x:dataValidation>
  </x:dataValidations>
  <x:pageMargins left="0.7" right="0.7" top="0.75" bottom="0.75" header="0.3" footer="0.3"/>
</x:worksheet>
</file>